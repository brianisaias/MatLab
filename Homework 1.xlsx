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"/>
    </mc:Choice>
  </mc:AlternateContent>
  <xr:revisionPtr revIDLastSave="0" documentId="8_{515355BC-9A8C-A446-B4CE-B6938F1E4E86}" xr6:coauthVersionLast="47" xr6:coauthVersionMax="47" xr10:uidLastSave="{00000000-0000-0000-0000-000000000000}"/>
  <bookViews>
    <workbookView xWindow="4000" yWindow="600" windowWidth="21600" windowHeight="11300" activeTab="4" xr2:uid="{2E48908D-70EC-CF42-9BCD-02F1A654E1EE}"/>
  </bookViews>
  <sheets>
    <sheet name="2.11" sheetId="1" r:id="rId1"/>
    <sheet name="2.12" sheetId="2" r:id="rId2"/>
    <sheet name="2.17" sheetId="3" r:id="rId3"/>
    <sheet name="2.18" sheetId="4" r:id="rId4"/>
    <sheet name="2.2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G4" i="5"/>
  <c r="H4" i="5"/>
  <c r="D12" i="4"/>
  <c r="D13" i="4"/>
  <c r="D14" i="4"/>
  <c r="D15" i="4"/>
  <c r="D16" i="4"/>
  <c r="D11" i="4"/>
  <c r="C17" i="4"/>
  <c r="D17" i="4" s="1"/>
  <c r="C16" i="4"/>
  <c r="C15" i="4"/>
  <c r="C14" i="4"/>
  <c r="C13" i="4"/>
  <c r="C11" i="4"/>
  <c r="C12" i="4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8" i="3"/>
  <c r="E7" i="2"/>
  <c r="E6" i="2"/>
  <c r="E5" i="2"/>
  <c r="E4" i="2"/>
  <c r="C8" i="1"/>
  <c r="G7" i="5" l="1"/>
  <c r="G11" i="5" s="1"/>
  <c r="G417" i="5" l="1"/>
  <c r="G218" i="5"/>
  <c r="G19" i="5"/>
  <c r="G425" i="5"/>
  <c r="G226" i="5"/>
  <c r="G27" i="5"/>
  <c r="G433" i="5"/>
  <c r="G234" i="5"/>
  <c r="G35" i="5"/>
  <c r="G441" i="5"/>
  <c r="G242" i="5"/>
  <c r="G43" i="5"/>
  <c r="G449" i="5"/>
  <c r="G250" i="5"/>
  <c r="G51" i="5"/>
  <c r="G457" i="5"/>
  <c r="G258" i="5"/>
  <c r="G59" i="5"/>
  <c r="G465" i="5"/>
  <c r="G266" i="5"/>
  <c r="G67" i="5"/>
  <c r="G473" i="5"/>
  <c r="G274" i="5"/>
  <c r="G75" i="5"/>
  <c r="G481" i="5"/>
  <c r="G282" i="5"/>
  <c r="G83" i="5"/>
  <c r="G489" i="5"/>
  <c r="G290" i="5"/>
  <c r="G91" i="5"/>
  <c r="G497" i="5"/>
  <c r="G298" i="5"/>
  <c r="G99" i="5"/>
  <c r="G505" i="5"/>
  <c r="G306" i="5"/>
  <c r="G107" i="5"/>
  <c r="G211" i="5"/>
  <c r="G312" i="5"/>
  <c r="G195" i="5"/>
  <c r="G514" i="5"/>
  <c r="G554" i="5"/>
  <c r="G387" i="5"/>
  <c r="G557" i="5"/>
  <c r="G382" i="5"/>
  <c r="G311" i="5"/>
  <c r="G584" i="5"/>
  <c r="G223" i="5"/>
  <c r="G470" i="5"/>
  <c r="G104" i="5"/>
  <c r="G112" i="5"/>
  <c r="G518" i="5"/>
  <c r="G319" i="5"/>
  <c r="G120" i="5"/>
  <c r="G526" i="5"/>
  <c r="G327" i="5"/>
  <c r="G128" i="5"/>
  <c r="G534" i="5"/>
  <c r="G335" i="5"/>
  <c r="G136" i="5"/>
  <c r="G542" i="5"/>
  <c r="G343" i="5"/>
  <c r="G144" i="5"/>
  <c r="G550" i="5"/>
  <c r="G351" i="5"/>
  <c r="G152" i="5"/>
  <c r="G558" i="5"/>
  <c r="G359" i="5"/>
  <c r="G160" i="5"/>
  <c r="G566" i="5"/>
  <c r="G367" i="5"/>
  <c r="G168" i="5"/>
  <c r="G574" i="5"/>
  <c r="G375" i="5"/>
  <c r="G176" i="5"/>
  <c r="G582" i="5"/>
  <c r="G383" i="5"/>
  <c r="G184" i="5"/>
  <c r="G590" i="5"/>
  <c r="G391" i="5"/>
  <c r="G192" i="5"/>
  <c r="G598" i="5"/>
  <c r="G399" i="5"/>
  <c r="G200" i="5"/>
  <c r="G606" i="5"/>
  <c r="G407" i="5"/>
  <c r="G208" i="5"/>
  <c r="G402" i="5"/>
  <c r="G363" i="5"/>
  <c r="G602" i="5"/>
  <c r="G358" i="5"/>
  <c r="G589" i="5"/>
  <c r="G210" i="5"/>
  <c r="G377" i="5"/>
  <c r="G202" i="5"/>
  <c r="G438" i="5"/>
  <c r="G462" i="5"/>
  <c r="G486" i="5"/>
  <c r="G213" i="5"/>
  <c r="G14" i="5"/>
  <c r="G420" i="5"/>
  <c r="G221" i="5"/>
  <c r="G22" i="5"/>
  <c r="G428" i="5"/>
  <c r="G229" i="5"/>
  <c r="G30" i="5"/>
  <c r="G436" i="5"/>
  <c r="G237" i="5"/>
  <c r="G38" i="5"/>
  <c r="G444" i="5"/>
  <c r="G245" i="5"/>
  <c r="G46" i="5"/>
  <c r="G452" i="5"/>
  <c r="G253" i="5"/>
  <c r="G54" i="5"/>
  <c r="G460" i="5"/>
  <c r="G261" i="5"/>
  <c r="G62" i="5"/>
  <c r="G468" i="5"/>
  <c r="G269" i="5"/>
  <c r="G70" i="5"/>
  <c r="G476" i="5"/>
  <c r="G277" i="5"/>
  <c r="G78" i="5"/>
  <c r="G484" i="5"/>
  <c r="G285" i="5"/>
  <c r="G86" i="5"/>
  <c r="G492" i="5"/>
  <c r="G293" i="5"/>
  <c r="G94" i="5"/>
  <c r="G500" i="5"/>
  <c r="G301" i="5"/>
  <c r="G102" i="5"/>
  <c r="G508" i="5"/>
  <c r="G309" i="5"/>
  <c r="G413" i="5"/>
  <c r="G386" i="5"/>
  <c r="G203" i="5"/>
  <c r="G410" i="5"/>
  <c r="G156" i="5"/>
  <c r="G204" i="5"/>
  <c r="G159" i="5"/>
  <c r="G605" i="5"/>
  <c r="G576" i="5"/>
  <c r="G412" i="5"/>
  <c r="G40" i="5"/>
  <c r="G48" i="5"/>
  <c r="G80" i="5"/>
  <c r="G303" i="5"/>
  <c r="G314" i="5"/>
  <c r="G115" i="5"/>
  <c r="G521" i="5"/>
  <c r="G322" i="5"/>
  <c r="G123" i="5"/>
  <c r="G529" i="5"/>
  <c r="G330" i="5"/>
  <c r="G131" i="5"/>
  <c r="G537" i="5"/>
  <c r="G338" i="5"/>
  <c r="G139" i="5"/>
  <c r="G545" i="5"/>
  <c r="G346" i="5"/>
  <c r="G147" i="5"/>
  <c r="G553" i="5"/>
  <c r="G354" i="5"/>
  <c r="G155" i="5"/>
  <c r="G561" i="5"/>
  <c r="G362" i="5"/>
  <c r="G163" i="5"/>
  <c r="G569" i="5"/>
  <c r="G370" i="5"/>
  <c r="G171" i="5"/>
  <c r="G577" i="5"/>
  <c r="G378" i="5"/>
  <c r="G179" i="5"/>
  <c r="G585" i="5"/>
  <c r="G187" i="5"/>
  <c r="G593" i="5"/>
  <c r="G394" i="5"/>
  <c r="G601" i="5"/>
  <c r="G609" i="5"/>
  <c r="G379" i="5"/>
  <c r="G196" i="5"/>
  <c r="G305" i="5"/>
  <c r="G573" i="5"/>
  <c r="G398" i="5"/>
  <c r="G308" i="5"/>
  <c r="G186" i="5"/>
  <c r="G16" i="5"/>
  <c r="G279" i="5"/>
  <c r="G415" i="5"/>
  <c r="G216" i="5"/>
  <c r="G17" i="5"/>
  <c r="G423" i="5"/>
  <c r="G224" i="5"/>
  <c r="G25" i="5"/>
  <c r="G431" i="5"/>
  <c r="G232" i="5"/>
  <c r="G33" i="5"/>
  <c r="G439" i="5"/>
  <c r="G240" i="5"/>
  <c r="G41" i="5"/>
  <c r="G447" i="5"/>
  <c r="G248" i="5"/>
  <c r="G49" i="5"/>
  <c r="G455" i="5"/>
  <c r="G256" i="5"/>
  <c r="G57" i="5"/>
  <c r="G463" i="5"/>
  <c r="G264" i="5"/>
  <c r="G65" i="5"/>
  <c r="G471" i="5"/>
  <c r="G272" i="5"/>
  <c r="G73" i="5"/>
  <c r="G479" i="5"/>
  <c r="G280" i="5"/>
  <c r="G81" i="5"/>
  <c r="G487" i="5"/>
  <c r="G288" i="5"/>
  <c r="G89" i="5"/>
  <c r="G495" i="5"/>
  <c r="G296" i="5"/>
  <c r="G97" i="5"/>
  <c r="G503" i="5"/>
  <c r="G304" i="5"/>
  <c r="G105" i="5"/>
  <c r="G511" i="5"/>
  <c r="G111" i="5"/>
  <c r="G405" i="5"/>
  <c r="G212" i="5"/>
  <c r="G501" i="5"/>
  <c r="G515" i="5"/>
  <c r="G172" i="5"/>
  <c r="G188" i="5"/>
  <c r="G516" i="5"/>
  <c r="G317" i="5"/>
  <c r="G118" i="5"/>
  <c r="G524" i="5"/>
  <c r="G325" i="5"/>
  <c r="G126" i="5"/>
  <c r="G532" i="5"/>
  <c r="G333" i="5"/>
  <c r="G134" i="5"/>
  <c r="G540" i="5"/>
  <c r="G341" i="5"/>
  <c r="G142" i="5"/>
  <c r="G548" i="5"/>
  <c r="G349" i="5"/>
  <c r="G150" i="5"/>
  <c r="G556" i="5"/>
  <c r="G357" i="5"/>
  <c r="G158" i="5"/>
  <c r="G564" i="5"/>
  <c r="G365" i="5"/>
  <c r="G166" i="5"/>
  <c r="G572" i="5"/>
  <c r="G373" i="5"/>
  <c r="G174" i="5"/>
  <c r="G580" i="5"/>
  <c r="G381" i="5"/>
  <c r="G182" i="5"/>
  <c r="G588" i="5"/>
  <c r="G389" i="5"/>
  <c r="G190" i="5"/>
  <c r="G596" i="5"/>
  <c r="G397" i="5"/>
  <c r="G198" i="5"/>
  <c r="G604" i="5"/>
  <c r="G206" i="5"/>
  <c r="G108" i="5"/>
  <c r="G103" i="5"/>
  <c r="G164" i="5"/>
  <c r="G395" i="5"/>
  <c r="G12" i="5"/>
  <c r="G418" i="5"/>
  <c r="G219" i="5"/>
  <c r="G20" i="5"/>
  <c r="G426" i="5"/>
  <c r="G227" i="5"/>
  <c r="G28" i="5"/>
  <c r="G434" i="5"/>
  <c r="G235" i="5"/>
  <c r="G36" i="5"/>
  <c r="G442" i="5"/>
  <c r="G243" i="5"/>
  <c r="G44" i="5"/>
  <c r="G450" i="5"/>
  <c r="G251" i="5"/>
  <c r="G52" i="5"/>
  <c r="G458" i="5"/>
  <c r="G259" i="5"/>
  <c r="G60" i="5"/>
  <c r="G466" i="5"/>
  <c r="G267" i="5"/>
  <c r="G68" i="5"/>
  <c r="G474" i="5"/>
  <c r="G275" i="5"/>
  <c r="G76" i="5"/>
  <c r="G482" i="5"/>
  <c r="G283" i="5"/>
  <c r="G84" i="5"/>
  <c r="G490" i="5"/>
  <c r="G291" i="5"/>
  <c r="G92" i="5"/>
  <c r="G498" i="5"/>
  <c r="G299" i="5"/>
  <c r="G100" i="5"/>
  <c r="G506" i="5"/>
  <c r="G307" i="5"/>
  <c r="G209" i="5"/>
  <c r="G313" i="5"/>
  <c r="G302" i="5"/>
  <c r="G371" i="5"/>
  <c r="G594" i="5"/>
  <c r="G106" i="5"/>
  <c r="G167" i="5"/>
  <c r="G597" i="5"/>
  <c r="G300" i="5"/>
  <c r="G194" i="5"/>
  <c r="G608" i="5"/>
  <c r="G422" i="5"/>
  <c r="G271" i="5"/>
  <c r="G510" i="5"/>
  <c r="G113" i="5"/>
  <c r="G519" i="5"/>
  <c r="G320" i="5"/>
  <c r="G121" i="5"/>
  <c r="G527" i="5"/>
  <c r="G328" i="5"/>
  <c r="G129" i="5"/>
  <c r="G535" i="5"/>
  <c r="G336" i="5"/>
  <c r="G137" i="5"/>
  <c r="G543" i="5"/>
  <c r="G344" i="5"/>
  <c r="G145" i="5"/>
  <c r="G551" i="5"/>
  <c r="G352" i="5"/>
  <c r="G153" i="5"/>
  <c r="G559" i="5"/>
  <c r="G360" i="5"/>
  <c r="G161" i="5"/>
  <c r="G567" i="5"/>
  <c r="G368" i="5"/>
  <c r="G169" i="5"/>
  <c r="G575" i="5"/>
  <c r="G376" i="5"/>
  <c r="G177" i="5"/>
  <c r="G583" i="5"/>
  <c r="G384" i="5"/>
  <c r="G185" i="5"/>
  <c r="G591" i="5"/>
  <c r="G392" i="5"/>
  <c r="G193" i="5"/>
  <c r="G599" i="5"/>
  <c r="G400" i="5"/>
  <c r="G201" i="5"/>
  <c r="G607" i="5"/>
  <c r="G408" i="5"/>
  <c r="G310" i="5"/>
  <c r="G414" i="5"/>
  <c r="G411" i="5"/>
  <c r="G562" i="5"/>
  <c r="G403" i="5"/>
  <c r="G151" i="5"/>
  <c r="G183" i="5"/>
  <c r="G369" i="5"/>
  <c r="G446" i="5"/>
  <c r="G72" i="5"/>
  <c r="G502" i="5"/>
  <c r="G214" i="5"/>
  <c r="G15" i="5"/>
  <c r="G421" i="5"/>
  <c r="G222" i="5"/>
  <c r="G23" i="5"/>
  <c r="G429" i="5"/>
  <c r="G230" i="5"/>
  <c r="G31" i="5"/>
  <c r="G437" i="5"/>
  <c r="G238" i="5"/>
  <c r="G39" i="5"/>
  <c r="G445" i="5"/>
  <c r="G246" i="5"/>
  <c r="G47" i="5"/>
  <c r="G453" i="5"/>
  <c r="G254" i="5"/>
  <c r="G55" i="5"/>
  <c r="G461" i="5"/>
  <c r="G262" i="5"/>
  <c r="G63" i="5"/>
  <c r="G469" i="5"/>
  <c r="G270" i="5"/>
  <c r="G71" i="5"/>
  <c r="G477" i="5"/>
  <c r="G278" i="5"/>
  <c r="G79" i="5"/>
  <c r="G485" i="5"/>
  <c r="G286" i="5"/>
  <c r="G87" i="5"/>
  <c r="G493" i="5"/>
  <c r="G294" i="5"/>
  <c r="G95" i="5"/>
  <c r="G509" i="5"/>
  <c r="G570" i="5"/>
  <c r="G180" i="5"/>
  <c r="G610" i="5"/>
  <c r="G565" i="5"/>
  <c r="G191" i="5"/>
  <c r="G507" i="5"/>
  <c r="G393" i="5"/>
  <c r="G231" i="5"/>
  <c r="G454" i="5"/>
  <c r="G88" i="5"/>
  <c r="G315" i="5"/>
  <c r="G116" i="5"/>
  <c r="G522" i="5"/>
  <c r="G323" i="5"/>
  <c r="G124" i="5"/>
  <c r="G530" i="5"/>
  <c r="G331" i="5"/>
  <c r="G132" i="5"/>
  <c r="G538" i="5"/>
  <c r="G339" i="5"/>
  <c r="G140" i="5"/>
  <c r="G546" i="5"/>
  <c r="G347" i="5"/>
  <c r="G148" i="5"/>
  <c r="G355" i="5"/>
  <c r="G578" i="5"/>
  <c r="G586" i="5"/>
  <c r="G512" i="5"/>
  <c r="G374" i="5"/>
  <c r="G390" i="5"/>
  <c r="G207" i="5"/>
  <c r="G170" i="5"/>
  <c r="G239" i="5"/>
  <c r="G247" i="5"/>
  <c r="G478" i="5"/>
  <c r="G513" i="5"/>
  <c r="G416" i="5"/>
  <c r="G217" i="5"/>
  <c r="G18" i="5"/>
  <c r="G424" i="5"/>
  <c r="G225" i="5"/>
  <c r="G26" i="5"/>
  <c r="G432" i="5"/>
  <c r="G233" i="5"/>
  <c r="G34" i="5"/>
  <c r="G440" i="5"/>
  <c r="G241" i="5"/>
  <c r="G42" i="5"/>
  <c r="G448" i="5"/>
  <c r="G249" i="5"/>
  <c r="G50" i="5"/>
  <c r="G456" i="5"/>
  <c r="G257" i="5"/>
  <c r="G58" i="5"/>
  <c r="G464" i="5"/>
  <c r="G265" i="5"/>
  <c r="G66" i="5"/>
  <c r="G472" i="5"/>
  <c r="G273" i="5"/>
  <c r="G74" i="5"/>
  <c r="G480" i="5"/>
  <c r="G281" i="5"/>
  <c r="G82" i="5"/>
  <c r="G488" i="5"/>
  <c r="G289" i="5"/>
  <c r="G90" i="5"/>
  <c r="G496" i="5"/>
  <c r="G297" i="5"/>
  <c r="G98" i="5"/>
  <c r="G504" i="5"/>
  <c r="G109" i="5"/>
  <c r="G175" i="5"/>
  <c r="G199" i="5"/>
  <c r="G499" i="5"/>
  <c r="G592" i="5"/>
  <c r="G409" i="5"/>
  <c r="G32" i="5"/>
  <c r="G56" i="5"/>
  <c r="G287" i="5"/>
  <c r="G517" i="5"/>
  <c r="G318" i="5"/>
  <c r="G119" i="5"/>
  <c r="G525" i="5"/>
  <c r="G326" i="5"/>
  <c r="G127" i="5"/>
  <c r="G533" i="5"/>
  <c r="G334" i="5"/>
  <c r="G135" i="5"/>
  <c r="G541" i="5"/>
  <c r="G342" i="5"/>
  <c r="G143" i="5"/>
  <c r="G549" i="5"/>
  <c r="G350" i="5"/>
  <c r="G366" i="5"/>
  <c r="G581" i="5"/>
  <c r="G406" i="5"/>
  <c r="G385" i="5"/>
  <c r="G430" i="5"/>
  <c r="G263" i="5"/>
  <c r="G96" i="5"/>
  <c r="G13" i="5"/>
  <c r="G419" i="5"/>
  <c r="G220" i="5"/>
  <c r="G21" i="5"/>
  <c r="G427" i="5"/>
  <c r="G228" i="5"/>
  <c r="G29" i="5"/>
  <c r="G435" i="5"/>
  <c r="G236" i="5"/>
  <c r="G37" i="5"/>
  <c r="G443" i="5"/>
  <c r="G244" i="5"/>
  <c r="G45" i="5"/>
  <c r="G451" i="5"/>
  <c r="G252" i="5"/>
  <c r="G53" i="5"/>
  <c r="G459" i="5"/>
  <c r="G260" i="5"/>
  <c r="G61" i="5"/>
  <c r="G467" i="5"/>
  <c r="G268" i="5"/>
  <c r="G69" i="5"/>
  <c r="G475" i="5"/>
  <c r="G276" i="5"/>
  <c r="G77" i="5"/>
  <c r="G483" i="5"/>
  <c r="G284" i="5"/>
  <c r="G85" i="5"/>
  <c r="G491" i="5"/>
  <c r="G292" i="5"/>
  <c r="G93" i="5"/>
  <c r="G101" i="5"/>
  <c r="G600" i="5"/>
  <c r="G215" i="5"/>
  <c r="G64" i="5"/>
  <c r="G114" i="5"/>
  <c r="G520" i="5"/>
  <c r="G321" i="5"/>
  <c r="G122" i="5"/>
  <c r="G528" i="5"/>
  <c r="G329" i="5"/>
  <c r="G130" i="5"/>
  <c r="G536" i="5"/>
  <c r="G337" i="5"/>
  <c r="G138" i="5"/>
  <c r="G544" i="5"/>
  <c r="G345" i="5"/>
  <c r="G146" i="5"/>
  <c r="G552" i="5"/>
  <c r="G353" i="5"/>
  <c r="G154" i="5"/>
  <c r="G560" i="5"/>
  <c r="G361" i="5"/>
  <c r="G162" i="5"/>
  <c r="G568" i="5"/>
  <c r="G178" i="5"/>
  <c r="G401" i="5"/>
  <c r="G24" i="5"/>
  <c r="G255" i="5"/>
  <c r="G494" i="5"/>
  <c r="G316" i="5"/>
  <c r="G117" i="5"/>
  <c r="G523" i="5"/>
  <c r="G324" i="5"/>
  <c r="G125" i="5"/>
  <c r="G531" i="5"/>
  <c r="G332" i="5"/>
  <c r="G133" i="5"/>
  <c r="G539" i="5"/>
  <c r="G340" i="5"/>
  <c r="G141" i="5"/>
  <c r="G547" i="5"/>
  <c r="G348" i="5"/>
  <c r="G149" i="5"/>
  <c r="G555" i="5"/>
  <c r="G356" i="5"/>
  <c r="G157" i="5"/>
  <c r="G563" i="5"/>
  <c r="G364" i="5"/>
  <c r="G165" i="5"/>
  <c r="G571" i="5"/>
  <c r="G372" i="5"/>
  <c r="G173" i="5"/>
  <c r="G579" i="5"/>
  <c r="G380" i="5"/>
  <c r="G181" i="5"/>
  <c r="G587" i="5"/>
  <c r="G388" i="5"/>
  <c r="G189" i="5"/>
  <c r="G595" i="5"/>
  <c r="G396" i="5"/>
  <c r="G197" i="5"/>
  <c r="G603" i="5"/>
  <c r="G404" i="5"/>
  <c r="G205" i="5"/>
  <c r="G611" i="5"/>
  <c r="G110" i="5"/>
  <c r="G295" i="5"/>
</calcChain>
</file>

<file path=xl/sharedStrings.xml><?xml version="1.0" encoding="utf-8"?>
<sst xmlns="http://schemas.openxmlformats.org/spreadsheetml/2006/main" count="57" uniqueCount="53">
  <si>
    <t>Calculates the Area and Volume of a Cylinder</t>
  </si>
  <si>
    <t>Diameter</t>
  </si>
  <si>
    <t>Length</t>
  </si>
  <si>
    <t>Endcaps? Y or N</t>
  </si>
  <si>
    <t>Surface Area</t>
  </si>
  <si>
    <t>Volume (L^3)</t>
  </si>
  <si>
    <t xml:space="preserve">Y </t>
  </si>
  <si>
    <t>SI to U.S Customary Units Converter</t>
  </si>
  <si>
    <t>SI Units</t>
  </si>
  <si>
    <t>U.S. Units</t>
  </si>
  <si>
    <t>Centimeter (cm)</t>
  </si>
  <si>
    <t>Degrees Celsius (°C)</t>
  </si>
  <si>
    <t>Newtons (N)</t>
  </si>
  <si>
    <t>Meters Per Second (m/s)</t>
  </si>
  <si>
    <t>Inches (in)</t>
  </si>
  <si>
    <t>Degrees Farenhiet (°F)</t>
  </si>
  <si>
    <t>Miles Per Hour (mph)</t>
  </si>
  <si>
    <t>Pounds (lbf)</t>
  </si>
  <si>
    <t>Temperature of balls over time</t>
  </si>
  <si>
    <t>Time</t>
  </si>
  <si>
    <r>
      <t>Time Constant (</t>
    </r>
    <r>
      <rPr>
        <sz val="12"/>
        <color theme="1"/>
        <rFont val="Aptos Narrow"/>
        <family val="2"/>
      </rPr>
      <t>ͳ</t>
    </r>
    <r>
      <rPr>
        <sz val="12"/>
        <color theme="1"/>
        <rFont val="Aptos Narrow"/>
        <family val="2"/>
        <scheme val="minor"/>
      </rPr>
      <t xml:space="preserve">) </t>
    </r>
  </si>
  <si>
    <r>
      <t>Oil Temp(T</t>
    </r>
    <r>
      <rPr>
        <vertAlign val="subscript"/>
        <sz val="12"/>
        <color theme="1"/>
        <rFont val="Aptos Narrow"/>
        <family val="2"/>
      </rPr>
      <t>∞</t>
    </r>
    <r>
      <rPr>
        <sz val="12"/>
        <color theme="1"/>
        <rFont val="Aptos Narrow"/>
        <family val="2"/>
        <scheme val="minor"/>
      </rPr>
      <t xml:space="preserve">) </t>
    </r>
  </si>
  <si>
    <r>
      <t>Initial(T</t>
    </r>
    <r>
      <rPr>
        <vertAlign val="subscript"/>
        <sz val="12"/>
        <color theme="1"/>
        <rFont val="Aptos Narrow"/>
        <family val="2"/>
        <scheme val="minor"/>
      </rPr>
      <t>i</t>
    </r>
    <r>
      <rPr>
        <sz val="12"/>
        <color theme="1"/>
        <rFont val="Aptos Narrow"/>
        <family val="2"/>
        <scheme val="minor"/>
      </rPr>
      <t xml:space="preserve">) </t>
    </r>
  </si>
  <si>
    <t>Temperature</t>
  </si>
  <si>
    <t>Grade Book</t>
  </si>
  <si>
    <t>Students</t>
  </si>
  <si>
    <t>A</t>
  </si>
  <si>
    <t>B</t>
  </si>
  <si>
    <t>C</t>
  </si>
  <si>
    <t>D</t>
  </si>
  <si>
    <t>Assignment Grades</t>
  </si>
  <si>
    <t>Student</t>
  </si>
  <si>
    <t xml:space="preserve">Average </t>
  </si>
  <si>
    <t>Grade</t>
  </si>
  <si>
    <t>F</t>
  </si>
  <si>
    <t>Density</t>
  </si>
  <si>
    <t>Thermal Properties of Selected Metals</t>
  </si>
  <si>
    <t>Copper</t>
  </si>
  <si>
    <t>Gold</t>
  </si>
  <si>
    <t>Nickel</t>
  </si>
  <si>
    <t>Steel</t>
  </si>
  <si>
    <t xml:space="preserve">Material </t>
  </si>
  <si>
    <t>Aluminum</t>
  </si>
  <si>
    <t>Specific Heat</t>
  </si>
  <si>
    <t>Material</t>
  </si>
  <si>
    <t>Look-up Table</t>
  </si>
  <si>
    <t>Time Constant</t>
  </si>
  <si>
    <t>Temperture</t>
  </si>
  <si>
    <t>Conditions</t>
  </si>
  <si>
    <t>Heat Transfer</t>
  </si>
  <si>
    <t>Ball Diameter</t>
  </si>
  <si>
    <t>Initial Ball Temp</t>
  </si>
  <si>
    <t>Oil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</si>
</sst>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vertAlign val="subscript"/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23" xfId="0" applyNumberFormat="1" applyBorder="1"/>
    <xf numFmtId="0" fontId="0" fillId="0" borderId="24" xfId="0" applyBorder="1"/>
    <xf numFmtId="2" fontId="0" fillId="0" borderId="25" xfId="0" applyNumberFormat="1" applyBorder="1"/>
    <xf numFmtId="0" fontId="0" fillId="0" borderId="2" xfId="0" applyBorder="1"/>
    <xf numFmtId="0" fontId="0" fillId="0" borderId="3" xfId="0" applyBorder="1"/>
    <xf numFmtId="0" fontId="0" fillId="4" borderId="7" xfId="0" applyFill="1" applyBorder="1"/>
    <xf numFmtId="0" fontId="0" fillId="4" borderId="8" xfId="0" applyFill="1" applyBorder="1"/>
    <xf numFmtId="0" fontId="0" fillId="4" borderId="18" xfId="0" applyFill="1" applyBorder="1"/>
    <xf numFmtId="2" fontId="0" fillId="4" borderId="8" xfId="0" applyNumberFormat="1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19" xfId="0" applyFill="1" applyBorder="1"/>
    <xf numFmtId="2" fontId="0" fillId="4" borderId="11" xfId="0" applyNumberFormat="1" applyFill="1" applyBorder="1"/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0" borderId="29" xfId="0" applyBorder="1"/>
    <xf numFmtId="0" fontId="0" fillId="0" borderId="25" xfId="0" applyBorder="1"/>
    <xf numFmtId="2" fontId="0" fillId="0" borderId="29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30" xfId="0" applyFill="1" applyBorder="1"/>
    <xf numFmtId="0" fontId="0" fillId="2" borderId="3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/>
    </xf>
    <xf numFmtId="0" fontId="0" fillId="0" borderId="23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3" borderId="32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9" xfId="0" applyFill="1" applyBorder="1" applyAlignment="1">
      <alignment horizontal="center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Ball Temperature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'2.17'!$C$7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'2.17'!$B$8:$B$188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'2.17'!$C$8:$C$188</c:f>
              <c:numCache>
                <c:formatCode>0.00</c:formatCode>
                <c:ptCount val="181"/>
                <c:pt idx="0">
                  <c:v>800</c:v>
                </c:pt>
                <c:pt idx="1">
                  <c:v>784.57476650596232</c:v>
                </c:pt>
                <c:pt idx="2">
                  <c:v>769.45497309965981</c:v>
                </c:pt>
                <c:pt idx="3">
                  <c:v>754.6345716621297</c:v>
                </c:pt>
                <c:pt idx="4">
                  <c:v>740.10763383518929</c:v>
                </c:pt>
                <c:pt idx="5">
                  <c:v>725.86834865001242</c:v>
                </c:pt>
                <c:pt idx="6">
                  <c:v>711.91102020266567</c:v>
                </c:pt>
                <c:pt idx="7">
                  <c:v>698.23006537566971</c:v>
                </c:pt>
                <c:pt idx="8">
                  <c:v>684.8200116046786</c:v>
                </c:pt>
                <c:pt idx="9">
                  <c:v>671.67549468938091</c:v>
                </c:pt>
                <c:pt idx="10">
                  <c:v>658.79125664774779</c:v>
                </c:pt>
                <c:pt idx="11">
                  <c:v>646.16214361277071</c:v>
                </c:pt>
                <c:pt idx="12">
                  <c:v>633.78310377084517</c:v>
                </c:pt>
                <c:pt idx="13">
                  <c:v>621.64918534097808</c:v>
                </c:pt>
                <c:pt idx="14">
                  <c:v>609.7555345940101</c:v>
                </c:pt>
                <c:pt idx="15">
                  <c:v>598.09739391105825</c:v>
                </c:pt>
                <c:pt idx="16">
                  <c:v>586.67009988040525</c:v>
                </c:pt>
                <c:pt idx="17">
                  <c:v>575.46908143207293</c:v>
                </c:pt>
                <c:pt idx="18">
                  <c:v>564.48985800933315</c:v>
                </c:pt>
                <c:pt idx="19">
                  <c:v>553.72803777642514</c:v>
                </c:pt>
                <c:pt idx="20">
                  <c:v>543.17931586176303</c:v>
                </c:pt>
                <c:pt idx="21">
                  <c:v>532.83947263592927</c:v>
                </c:pt>
                <c:pt idx="22">
                  <c:v>522.70437202376718</c:v>
                </c:pt>
                <c:pt idx="23">
                  <c:v>512.76995984989526</c:v>
                </c:pt>
                <c:pt idx="24">
                  <c:v>503.03226221698372</c:v>
                </c:pt>
                <c:pt idx="25">
                  <c:v>493.48738391614143</c:v>
                </c:pt>
                <c:pt idx="26">
                  <c:v>484.1315068687814</c:v>
                </c:pt>
                <c:pt idx="27">
                  <c:v>474.96088859933792</c:v>
                </c:pt>
                <c:pt idx="28">
                  <c:v>465.97186073822678</c:v>
                </c:pt>
                <c:pt idx="29">
                  <c:v>457.16082755444819</c:v>
                </c:pt>
                <c:pt idx="30">
                  <c:v>448.52426451724654</c:v>
                </c:pt>
                <c:pt idx="31">
                  <c:v>440.05871688625143</c:v>
                </c:pt>
                <c:pt idx="32">
                  <c:v>431.76079832953479</c:v>
                </c:pt>
                <c:pt idx="33">
                  <c:v>423.62718956903365</c:v>
                </c:pt>
                <c:pt idx="34">
                  <c:v>415.65463705279427</c:v>
                </c:pt>
                <c:pt idx="35">
                  <c:v>407.83995165350802</c:v>
                </c:pt>
                <c:pt idx="36">
                  <c:v>400.18000739281791</c:v>
                </c:pt>
                <c:pt idx="37">
                  <c:v>392.67174019088577</c:v>
                </c:pt>
                <c:pt idx="38">
                  <c:v>385.31214664071928</c:v>
                </c:pt>
                <c:pt idx="39">
                  <c:v>378.09828280676913</c:v>
                </c:pt>
                <c:pt idx="40">
                  <c:v>371.02726304731561</c:v>
                </c:pt>
                <c:pt idx="41">
                  <c:v>364.09625886017346</c:v>
                </c:pt>
                <c:pt idx="42">
                  <c:v>357.3024977512531</c:v>
                </c:pt>
                <c:pt idx="43">
                  <c:v>350.64326212552635</c:v>
                </c:pt>
                <c:pt idx="44">
                  <c:v>344.11588819995188</c:v>
                </c:pt>
                <c:pt idx="45">
                  <c:v>337.71776493792669</c:v>
                </c:pt>
                <c:pt idx="46">
                  <c:v>331.4463330048365</c:v>
                </c:pt>
                <c:pt idx="47">
                  <c:v>325.29908374428794</c:v>
                </c:pt>
                <c:pt idx="48">
                  <c:v>319.27355817461228</c:v>
                </c:pt>
                <c:pt idx="49">
                  <c:v>313.36734600524028</c:v>
                </c:pt>
                <c:pt idx="50">
                  <c:v>307.57808467255359</c:v>
                </c:pt>
                <c:pt idx="51">
                  <c:v>301.90345839482802</c:v>
                </c:pt>
                <c:pt idx="52">
                  <c:v>296.34119724588976</c:v>
                </c:pt>
                <c:pt idx="53">
                  <c:v>290.8890762471147</c:v>
                </c:pt>
                <c:pt idx="54">
                  <c:v>285.54491447740759</c:v>
                </c:pt>
                <c:pt idx="55">
                  <c:v>280.30657420080399</c:v>
                </c:pt>
                <c:pt idx="56">
                  <c:v>275.17196001134778</c:v>
                </c:pt>
                <c:pt idx="57">
                  <c:v>270.13901799490077</c:v>
                </c:pt>
                <c:pt idx="58">
                  <c:v>265.20573490754953</c:v>
                </c:pt>
                <c:pt idx="59">
                  <c:v>260.37013737028121</c:v>
                </c:pt>
                <c:pt idx="60">
                  <c:v>255.63029107960546</c:v>
                </c:pt>
                <c:pt idx="61">
                  <c:v>250.98430003380707</c:v>
                </c:pt>
                <c:pt idx="62">
                  <c:v>246.43030577452043</c:v>
                </c:pt>
                <c:pt idx="63">
                  <c:v>241.96648664332113</c:v>
                </c:pt>
                <c:pt idx="64">
                  <c:v>237.59105705303824</c:v>
                </c:pt>
                <c:pt idx="65">
                  <c:v>233.3022667734958</c:v>
                </c:pt>
                <c:pt idx="66">
                  <c:v>229.09840023139742</c:v>
                </c:pt>
                <c:pt idx="67">
                  <c:v>224.97777582407394</c:v>
                </c:pt>
                <c:pt idx="68">
                  <c:v>220.93874524682002</c:v>
                </c:pt>
                <c:pt idx="69">
                  <c:v>216.97969283355033</c:v>
                </c:pt>
                <c:pt idx="70">
                  <c:v>213.09903491051145</c:v>
                </c:pt>
                <c:pt idx="71">
                  <c:v>209.2952191627914</c:v>
                </c:pt>
                <c:pt idx="72">
                  <c:v>205.56672401337286</c:v>
                </c:pt>
                <c:pt idx="73">
                  <c:v>201.91205801448214</c:v>
                </c:pt>
                <c:pt idx="74">
                  <c:v>198.32975925099012</c:v>
                </c:pt>
                <c:pt idx="75">
                  <c:v>194.81839475562683</c:v>
                </c:pt>
                <c:pt idx="76">
                  <c:v>191.37655993577528</c:v>
                </c:pt>
                <c:pt idx="77">
                  <c:v>188.00287801161582</c:v>
                </c:pt>
                <c:pt idx="78">
                  <c:v>184.69599946539572</c:v>
                </c:pt>
                <c:pt idx="79">
                  <c:v>181.4546015016042</c:v>
                </c:pt>
                <c:pt idx="80">
                  <c:v>178.27738751783653</c:v>
                </c:pt>
                <c:pt idx="81">
                  <c:v>175.16308658613582</c:v>
                </c:pt>
                <c:pt idx="82">
                  <c:v>172.11045294460479</c:v>
                </c:pt>
                <c:pt idx="83">
                  <c:v>169.11826549908452</c:v>
                </c:pt>
                <c:pt idx="84">
                  <c:v>166.18532733470036</c:v>
                </c:pt>
                <c:pt idx="85">
                  <c:v>163.31046523708031</c:v>
                </c:pt>
                <c:pt idx="86">
                  <c:v>160.49252922305322</c:v>
                </c:pt>
                <c:pt idx="87">
                  <c:v>157.73039208064057</c:v>
                </c:pt>
                <c:pt idx="88">
                  <c:v>155.02294891815637</c:v>
                </c:pt>
                <c:pt idx="89">
                  <c:v>152.3691167222359</c:v>
                </c:pt>
                <c:pt idx="90">
                  <c:v>149.7678339246159</c:v>
                </c:pt>
                <c:pt idx="91">
                  <c:v>147.21805997749311</c:v>
                </c:pt>
                <c:pt idx="92">
                  <c:v>144.71877493729122</c:v>
                </c:pt>
                <c:pt idx="93">
                  <c:v>142.26897905666991</c:v>
                </c:pt>
                <c:pt idx="94">
                  <c:v>139.86769238461255</c:v>
                </c:pt>
                <c:pt idx="95">
                  <c:v>137.51395437443273</c:v>
                </c:pt>
                <c:pt idx="96">
                  <c:v>135.20682349954276</c:v>
                </c:pt>
                <c:pt idx="97">
                  <c:v>132.94537687683058</c:v>
                </c:pt>
                <c:pt idx="98">
                  <c:v>130.72870989749407</c:v>
                </c:pt>
                <c:pt idx="99">
                  <c:v>128.55593586518552</c:v>
                </c:pt>
                <c:pt idx="100">
                  <c:v>126.4261856413213</c:v>
                </c:pt>
                <c:pt idx="101">
                  <c:v>124.33860729741481</c:v>
                </c:pt>
                <c:pt idx="102">
                  <c:v>122.29236577429378</c:v>
                </c:pt>
                <c:pt idx="103">
                  <c:v>120.28664254806536</c:v>
                </c:pt>
                <c:pt idx="104">
                  <c:v>118.32063530269571</c:v>
                </c:pt>
                <c:pt idx="105">
                  <c:v>116.3935576090729</c:v>
                </c:pt>
                <c:pt idx="106">
                  <c:v>114.50463861042479</c:v>
                </c:pt>
                <c:pt idx="107">
                  <c:v>112.65312271396598</c:v>
                </c:pt>
                <c:pt idx="108">
                  <c:v>110.83826928865069</c:v>
                </c:pt>
                <c:pt idx="109">
                  <c:v>109.05935236891042</c:v>
                </c:pt>
                <c:pt idx="110">
                  <c:v>107.31566036425808</c:v>
                </c:pt>
                <c:pt idx="111">
                  <c:v>105.60649577464226</c:v>
                </c:pt>
                <c:pt idx="112">
                  <c:v>103.93117491143794</c:v>
                </c:pt>
                <c:pt idx="113">
                  <c:v>102.28902762396196</c:v>
                </c:pt>
                <c:pt idx="114">
                  <c:v>100.6793970314037</c:v>
                </c:pt>
                <c:pt idx="115">
                  <c:v>99.101639260064118</c:v>
                </c:pt>
                <c:pt idx="116">
                  <c:v>97.55512318579764</c:v>
                </c:pt>
                <c:pt idx="117">
                  <c:v>96.039230181554075</c:v>
                </c:pt>
                <c:pt idx="118">
                  <c:v>94.553353869919533</c:v>
                </c:pt>
                <c:pt idx="119">
                  <c:v>93.09689988055743</c:v>
                </c:pt>
                <c:pt idx="120">
                  <c:v>91.669285612452342</c:v>
                </c:pt>
                <c:pt idx="121">
                  <c:v>90.269940000861965</c:v>
                </c:pt>
                <c:pt idx="122">
                  <c:v>88.898303288883426</c:v>
                </c:pt>
                <c:pt idx="123">
                  <c:v>87.553826803543245</c:v>
                </c:pt>
                <c:pt idx="124">
                  <c:v>86.235972736320662</c:v>
                </c:pt>
                <c:pt idx="125">
                  <c:v>84.944213928017163</c:v>
                </c:pt>
                <c:pt idx="126">
                  <c:v>83.678033657885777</c:v>
                </c:pt>
                <c:pt idx="127">
                  <c:v>82.43692543693578</c:v>
                </c:pt>
                <c:pt idx="128">
                  <c:v>81.220392805330505</c:v>
                </c:pt>
                <c:pt idx="129">
                  <c:v>80.027949133796625</c:v>
                </c:pt>
                <c:pt idx="130">
                  <c:v>78.859117428966087</c:v>
                </c:pt>
                <c:pt idx="131">
                  <c:v>77.713430142572321</c:v>
                </c:pt>
                <c:pt idx="132">
                  <c:v>76.590428984424733</c:v>
                </c:pt>
                <c:pt idx="133">
                  <c:v>75.489664739086521</c:v>
                </c:pt>
                <c:pt idx="134">
                  <c:v>74.410697086182495</c:v>
                </c:pt>
                <c:pt idx="135">
                  <c:v>73.353094424265066</c:v>
                </c:pt>
                <c:pt idx="136">
                  <c:v>72.316433698167899</c:v>
                </c:pt>
                <c:pt idx="137">
                  <c:v>71.30030022977823</c:v>
                </c:pt>
                <c:pt idx="138">
                  <c:v>70.304287552160133</c:v>
                </c:pt>
                <c:pt idx="139">
                  <c:v>69.327997246962127</c:v>
                </c:pt>
                <c:pt idx="140">
                  <c:v>68.371038785044803</c:v>
                </c:pt>
                <c:pt idx="141">
                  <c:v>67.433029370263768</c:v>
                </c:pt>
                <c:pt idx="142">
                  <c:v>66.513593786346149</c:v>
                </c:pt>
                <c:pt idx="143">
                  <c:v>65.612364246799075</c:v>
                </c:pt>
                <c:pt idx="144">
                  <c:v>64.728980247790162</c:v>
                </c:pt>
                <c:pt idx="145">
                  <c:v>63.863088423941235</c:v>
                </c:pt>
                <c:pt idx="146">
                  <c:v>63.014342406977342</c:v>
                </c:pt>
                <c:pt idx="147">
                  <c:v>62.182402687174935</c:v>
                </c:pt>
                <c:pt idx="148">
                  <c:v>61.366936477553423</c:v>
                </c:pt>
                <c:pt idx="149">
                  <c:v>60.567617580755936</c:v>
                </c:pt>
                <c:pt idx="150">
                  <c:v>59.784126258566012</c:v>
                </c:pt>
                <c:pt idx="151">
                  <c:v>59.0161491040081</c:v>
                </c:pt>
                <c:pt idx="152">
                  <c:v>58.263378915980532</c:v>
                </c:pt>
                <c:pt idx="153">
                  <c:v>57.52551457637103</c:v>
                </c:pt>
                <c:pt idx="154">
                  <c:v>56.802260929605438</c:v>
                </c:pt>
                <c:pt idx="155">
                  <c:v>56.093328664581527</c:v>
                </c:pt>
                <c:pt idx="156">
                  <c:v>55.398434198940741</c:v>
                </c:pt>
                <c:pt idx="157">
                  <c:v>54.717299565631436</c:v>
                </c:pt>
                <c:pt idx="158">
                  <c:v>54.049652301718368</c:v>
                </c:pt>
                <c:pt idx="159">
                  <c:v>53.395225339393889</c:v>
                </c:pt>
                <c:pt idx="160">
                  <c:v>52.753756899147277</c:v>
                </c:pt>
                <c:pt idx="161">
                  <c:v>52.124990385049387</c:v>
                </c:pt>
                <c:pt idx="162">
                  <c:v>51.508674282110924</c:v>
                </c:pt>
                <c:pt idx="163">
                  <c:v>50.904562055673068</c:v>
                </c:pt>
                <c:pt idx="164">
                  <c:v>50.312412052790279</c:v>
                </c:pt>
                <c:pt idx="165">
                  <c:v>49.731987405565974</c:v>
                </c:pt>
                <c:pt idx="166">
                  <c:v>49.163055936402166</c:v>
                </c:pt>
                <c:pt idx="167">
                  <c:v>48.605390065125341</c:v>
                </c:pt>
                <c:pt idx="168">
                  <c:v>48.058766717951343</c:v>
                </c:pt>
                <c:pt idx="169">
                  <c:v>47.522967238252889</c:v>
                </c:pt>
                <c:pt idx="170">
                  <c:v>46.997777299094011</c:v>
                </c:pt>
                <c:pt idx="171">
                  <c:v>46.482986817496439</c:v>
                </c:pt>
                <c:pt idx="172">
                  <c:v>45.978389870403539</c:v>
                </c:pt>
                <c:pt idx="173">
                  <c:v>45.483784612308447</c:v>
                </c:pt>
                <c:pt idx="174">
                  <c:v>44.998973194513084</c:v>
                </c:pt>
                <c:pt idx="175">
                  <c:v>44.523761685986116</c:v>
                </c:pt>
                <c:pt idx="176">
                  <c:v>44.057959995787868</c:v>
                </c:pt>
                <c:pt idx="177">
                  <c:v>43.601381797031507</c:v>
                </c:pt>
                <c:pt idx="178">
                  <c:v>43.15384445234973</c:v>
                </c:pt>
                <c:pt idx="179">
                  <c:v>42.71516894083743</c:v>
                </c:pt>
                <c:pt idx="180">
                  <c:v>42.285179786440906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B9-485A-84FA-B66449D0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33263"/>
        <c:axId val="500936143"/>
      </c:scatterChart>
      <c:valAx>
        <c:axId val="50093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36143"/>
        <c:crosses val="autoZero"/>
        <c:crossBetween val="midCat"/>
      </c:valAx>
      <c:valAx>
        <c:axId val="5009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3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12335637550188"/>
          <c:y val="0.11361307251886561"/>
          <c:w val="0.81479572036739212"/>
          <c:h val="0.7633764143762555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'2.20'!$G$10</c:f>
              <c:strCache>
                <c:ptCount val="1"/>
                <c:pt idx="0">
                  <c:v>Temperture</c:v>
                </c:pt>
              </c:strCache>
            </c:strRef>
          </c:tx>
          <c:xVal>
            <c:numRef>
              <c:f>'2.20'!$F$11:$F$611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</c:numCache>
            </c:numRef>
          </c:xVal>
          <c:yVal>
            <c:numRef>
              <c:f>'2.20'!$G$11:$G$611</c:f>
              <c:numCache>
                <c:formatCode>General</c:formatCode>
                <c:ptCount val="601"/>
                <c:pt idx="0">
                  <c:v>400</c:v>
                </c:pt>
                <c:pt idx="1">
                  <c:v>204.00139677991956</c:v>
                </c:pt>
                <c:pt idx="2">
                  <c:v>136.05430177391423</c:v>
                </c:pt>
                <c:pt idx="3">
                  <c:v>112.49899248137271</c:v>
                </c:pt>
                <c:pt idx="4">
                  <c:v>104.33304225468159</c:v>
                </c:pt>
                <c:pt idx="5">
                  <c:v>101.50214148931099</c:v>
                </c:pt>
                <c:pt idx="6">
                  <c:v>100.52074937683138</c:v>
                </c:pt>
                <c:pt idx="7">
                  <c:v>100.18052887520912</c:v>
                </c:pt>
                <c:pt idx="8">
                  <c:v>100.06258418393618</c:v>
                </c:pt>
                <c:pt idx="9">
                  <c:v>100.02169614181898</c:v>
                </c:pt>
                <c:pt idx="10">
                  <c:v>100.00752143017969</c:v>
                </c:pt>
                <c:pt idx="11">
                  <c:v>100.00260746414824</c:v>
                </c:pt>
                <c:pt idx="12">
                  <c:v>100.0009039330449</c:v>
                </c:pt>
                <c:pt idx="13">
                  <c:v>100.00031336766422</c:v>
                </c:pt>
                <c:pt idx="14">
                  <c:v>100.00010863558262</c:v>
                </c:pt>
                <c:pt idx="15">
                  <c:v>100.0000376608411</c:v>
                </c:pt>
                <c:pt idx="16">
                  <c:v>100.00001305593359</c:v>
                </c:pt>
                <c:pt idx="17">
                  <c:v>100.00000452611776</c:v>
                </c:pt>
                <c:pt idx="18">
                  <c:v>100.00000156907524</c:v>
                </c:pt>
                <c:pt idx="19">
                  <c:v>100.00000054395339</c:v>
                </c:pt>
                <c:pt idx="20">
                  <c:v>100.00000018857304</c:v>
                </c:pt>
                <c:pt idx="21">
                  <c:v>100.00000006537286</c:v>
                </c:pt>
                <c:pt idx="22">
                  <c:v>100.0000000226629</c:v>
                </c:pt>
                <c:pt idx="23">
                  <c:v>100.00000000785657</c:v>
                </c:pt>
                <c:pt idx="24">
                  <c:v>100.00000000272365</c:v>
                </c:pt>
                <c:pt idx="25">
                  <c:v>100.00000000094421</c:v>
                </c:pt>
                <c:pt idx="26">
                  <c:v>100.00000000032733</c:v>
                </c:pt>
                <c:pt idx="27">
                  <c:v>100.00000000011347</c:v>
                </c:pt>
                <c:pt idx="28">
                  <c:v>100.00000000003934</c:v>
                </c:pt>
                <c:pt idx="29">
                  <c:v>100.00000000001364</c:v>
                </c:pt>
                <c:pt idx="30">
                  <c:v>100.00000000000473</c:v>
                </c:pt>
                <c:pt idx="31">
                  <c:v>100.00000000000163</c:v>
                </c:pt>
                <c:pt idx="32">
                  <c:v>100.00000000000057</c:v>
                </c:pt>
                <c:pt idx="33">
                  <c:v>100.0000000000002</c:v>
                </c:pt>
                <c:pt idx="34">
                  <c:v>100.00000000000007</c:v>
                </c:pt>
                <c:pt idx="35">
                  <c:v>100.00000000000003</c:v>
                </c:pt>
                <c:pt idx="36">
                  <c:v>100.00000000000001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42-48A4-A3AF-0A32F74AEA58}"/>
            </c:ext>
          </c:extLst>
        </c:ser>
        <c:ser>
          <c:idx val="0"/>
          <c:order val="1"/>
          <c:tx>
            <c:strRef>
              <c:f>'2.20'!$G$10</c:f>
              <c:strCache>
                <c:ptCount val="1"/>
                <c:pt idx="0">
                  <c:v>Temperture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'2.20'!$F$11:$F$611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</c:numCache>
            </c:numRef>
          </c:xVal>
          <c:yVal>
            <c:numRef>
              <c:f>'2.20'!$G$11:$G$611</c:f>
              <c:numCache>
                <c:formatCode>General</c:formatCode>
                <c:ptCount val="601"/>
                <c:pt idx="0">
                  <c:v>400</c:v>
                </c:pt>
                <c:pt idx="1">
                  <c:v>204.00139677991956</c:v>
                </c:pt>
                <c:pt idx="2">
                  <c:v>136.05430177391423</c:v>
                </c:pt>
                <c:pt idx="3">
                  <c:v>112.49899248137271</c:v>
                </c:pt>
                <c:pt idx="4">
                  <c:v>104.33304225468159</c:v>
                </c:pt>
                <c:pt idx="5">
                  <c:v>101.50214148931099</c:v>
                </c:pt>
                <c:pt idx="6">
                  <c:v>100.52074937683138</c:v>
                </c:pt>
                <c:pt idx="7">
                  <c:v>100.18052887520912</c:v>
                </c:pt>
                <c:pt idx="8">
                  <c:v>100.06258418393618</c:v>
                </c:pt>
                <c:pt idx="9">
                  <c:v>100.02169614181898</c:v>
                </c:pt>
                <c:pt idx="10">
                  <c:v>100.00752143017969</c:v>
                </c:pt>
                <c:pt idx="11">
                  <c:v>100.00260746414824</c:v>
                </c:pt>
                <c:pt idx="12">
                  <c:v>100.0009039330449</c:v>
                </c:pt>
                <c:pt idx="13">
                  <c:v>100.00031336766422</c:v>
                </c:pt>
                <c:pt idx="14">
                  <c:v>100.00010863558262</c:v>
                </c:pt>
                <c:pt idx="15">
                  <c:v>100.0000376608411</c:v>
                </c:pt>
                <c:pt idx="16">
                  <c:v>100.00001305593359</c:v>
                </c:pt>
                <c:pt idx="17">
                  <c:v>100.00000452611776</c:v>
                </c:pt>
                <c:pt idx="18">
                  <c:v>100.00000156907524</c:v>
                </c:pt>
                <c:pt idx="19">
                  <c:v>100.00000054395339</c:v>
                </c:pt>
                <c:pt idx="20">
                  <c:v>100.00000018857304</c:v>
                </c:pt>
                <c:pt idx="21">
                  <c:v>100.00000006537286</c:v>
                </c:pt>
                <c:pt idx="22">
                  <c:v>100.0000000226629</c:v>
                </c:pt>
                <c:pt idx="23">
                  <c:v>100.00000000785657</c:v>
                </c:pt>
                <c:pt idx="24">
                  <c:v>100.00000000272365</c:v>
                </c:pt>
                <c:pt idx="25">
                  <c:v>100.00000000094421</c:v>
                </c:pt>
                <c:pt idx="26">
                  <c:v>100.00000000032733</c:v>
                </c:pt>
                <c:pt idx="27">
                  <c:v>100.00000000011347</c:v>
                </c:pt>
                <c:pt idx="28">
                  <c:v>100.00000000003934</c:v>
                </c:pt>
                <c:pt idx="29">
                  <c:v>100.00000000001364</c:v>
                </c:pt>
                <c:pt idx="30">
                  <c:v>100.00000000000473</c:v>
                </c:pt>
                <c:pt idx="31">
                  <c:v>100.00000000000163</c:v>
                </c:pt>
                <c:pt idx="32">
                  <c:v>100.00000000000057</c:v>
                </c:pt>
                <c:pt idx="33">
                  <c:v>100.0000000000002</c:v>
                </c:pt>
                <c:pt idx="34">
                  <c:v>100.00000000000007</c:v>
                </c:pt>
                <c:pt idx="35">
                  <c:v>100.00000000000003</c:v>
                </c:pt>
                <c:pt idx="36">
                  <c:v>100.00000000000001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42-48A4-A3AF-0A32F74A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095295"/>
        <c:axId val="667095775"/>
      </c:scatterChart>
      <c:valAx>
        <c:axId val="6670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95775"/>
        <c:crosses val="autoZero"/>
        <c:crossBetween val="midCat"/>
      </c:valAx>
      <c:valAx>
        <c:axId val="6670957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Temperture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9529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1</xdr:row>
      <xdr:rowOff>100012</xdr:rowOff>
    </xdr:from>
    <xdr:to>
      <xdr:col>10</xdr:col>
      <xdr:colOff>71437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926E4-734C-39B0-BE52-13C24DDA4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14</xdr:col>
      <xdr:colOff>381000</xdr:colOff>
      <xdr:row>31</xdr:row>
      <xdr:rowOff>178594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90755F-50CD-4D87-8AC2-CDCC921EA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DC5E3-B9F3-4810-B235-63252462E94C}" name="Table4" displayName="Table4" ref="B7:C188" totalsRowShown="0" headerRowDxfId="19" headerRowBorderDxfId="18" tableBorderDxfId="17" totalsRowBorderDxfId="16">
  <autoFilter ref="B7:C188" xr:uid="{4BDDC5E3-B9F3-4810-B235-63252462E94C}"/>
  <tableColumns count="2">
    <tableColumn id="1" xr3:uid="{2A2A5483-2220-48CC-8CC2-D467E5D650DE}" name="Time" dataDxfId="15"/>
    <tableColumn id="2" xr3:uid="{5DEF6007-8ED0-405F-91A8-3C17DB1D180A}" name="Temperature" dataDxfId="14">
      <calculatedColumnFormula>($C$4)+(($C$3-$C$4)* EXP((-B8)/$C$5))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6B413E-FB29-4BEC-B723-501C83464A58}" name="Table6" displayName="Table6" ref="B10:D17" totalsRowShown="0" headerRowDxfId="13" dataDxfId="11" headerRowBorderDxfId="12" tableBorderDxfId="10" totalsRowBorderDxfId="9">
  <autoFilter ref="B10:D17" xr:uid="{3C6B413E-FB29-4BEC-B723-501C83464A58}"/>
  <tableColumns count="3">
    <tableColumn id="1" xr3:uid="{7FE21D74-D63E-4454-942F-D41027986860}" name="Student" dataDxfId="8"/>
    <tableColumn id="2" xr3:uid="{D01275D5-0426-4BD2-A5FF-60978CBEA5F6}" name="Average " dataDxfId="7"/>
    <tableColumn id="3" xr3:uid="{30AD94D1-DA82-4C80-BE10-C65D03B2F14C}" name="Grade" dataDxfId="6">
      <calculatedColumnFormula>IF(C11&gt;=90, "A", IF(C11&gt;=80, "B", IF(C11&gt;=70, "C", IF(C11&gt;=60, "D", "F"))))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8DEA97-B6A6-4362-85B9-D2EA87D88B84}" name="Table9" displayName="Table9" ref="F10:G611" totalsRowShown="0" headerRowDxfId="5" headerRowBorderDxfId="4" tableBorderDxfId="3" totalsRowBorderDxfId="2">
  <autoFilter ref="F10:G611" xr:uid="{598DEA97-B6A6-4362-85B9-D2EA87D88B84}"/>
  <tableColumns count="2">
    <tableColumn id="1" xr3:uid="{73D3203C-8FD5-4A54-85DC-29D821F6B7A5}" name="Time" dataDxfId="1"/>
    <tableColumn id="2" xr3:uid="{8CF024B0-7261-4F32-99A8-ECA055542A66}" name="Temperture" dataDxfId="0">
      <calculatedColumnFormula>$C$13+($C$12-$C$13)* EXP((-F11)/$G$7)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EAC0-2C53-5240-BAB3-A17A4A2E59BF}">
  <dimension ref="B1:C8"/>
  <sheetViews>
    <sheetView workbookViewId="0">
      <selection activeCell="D5" sqref="D5"/>
    </sheetView>
  </sheetViews>
  <sheetFormatPr baseColWidth="10" defaultColWidth="11.5" defaultRowHeight="16" x14ac:dyDescent="0.2"/>
  <cols>
    <col min="2" max="2" width="20.1640625" customWidth="1"/>
    <col min="3" max="3" width="18.6640625" customWidth="1"/>
  </cols>
  <sheetData>
    <row r="1" spans="2:3" ht="17" thickBot="1" x14ac:dyDescent="0.25"/>
    <row r="2" spans="2:3" ht="17" thickBot="1" x14ac:dyDescent="0.25">
      <c r="B2" s="73" t="s">
        <v>0</v>
      </c>
      <c r="C2" s="73"/>
    </row>
    <row r="3" spans="2:3" ht="17" thickBot="1" x14ac:dyDescent="0.25">
      <c r="B3" s="2" t="s">
        <v>1</v>
      </c>
      <c r="C3" s="71">
        <v>10</v>
      </c>
    </row>
    <row r="4" spans="2:3" ht="17" thickBot="1" x14ac:dyDescent="0.25">
      <c r="B4" s="2" t="s">
        <v>2</v>
      </c>
      <c r="C4" s="71">
        <v>2</v>
      </c>
    </row>
    <row r="5" spans="2:3" ht="17" thickBot="1" x14ac:dyDescent="0.25">
      <c r="B5" s="2" t="s">
        <v>3</v>
      </c>
      <c r="C5" s="71" t="s">
        <v>6</v>
      </c>
    </row>
    <row r="6" spans="2:3" ht="17" thickBot="1" x14ac:dyDescent="0.25">
      <c r="B6" s="31"/>
      <c r="C6" s="30"/>
    </row>
    <row r="7" spans="2:3" ht="17" thickBot="1" x14ac:dyDescent="0.25">
      <c r="B7" s="2" t="s">
        <v>4</v>
      </c>
      <c r="C7" s="72">
        <f>PI()*C3*C4 + IF(UPPER(TRIM(C5))="Y", 2*PI()*POWER(C3/2,2), 0)</f>
        <v>219.91148575128551</v>
      </c>
    </row>
    <row r="8" spans="2:3" ht="17" thickBot="1" x14ac:dyDescent="0.25">
      <c r="B8" s="2" t="s">
        <v>5</v>
      </c>
      <c r="C8" s="72">
        <f>PI()*(($C$3/2)^2)*(C4)</f>
        <v>157.07963267948966</v>
      </c>
    </row>
  </sheetData>
  <mergeCells count="1">
    <mergeCell ref="B2:C2"/>
  </mergeCells>
  <dataValidations count="1">
    <dataValidation type="list" allowBlank="1" showInputMessage="1" showErrorMessage="1" sqref="C5" xr:uid="{FE433EBD-764F-8D4F-8FD4-09587A3EA684}">
      <formula1>"Y , 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C076-D301-425C-A821-7961F6F692E0}">
  <dimension ref="B1:E7"/>
  <sheetViews>
    <sheetView workbookViewId="0">
      <selection activeCell="B2" sqref="B2:E7"/>
    </sheetView>
  </sheetViews>
  <sheetFormatPr baseColWidth="10" defaultColWidth="8.83203125" defaultRowHeight="16" x14ac:dyDescent="0.2"/>
  <cols>
    <col min="1" max="1" width="9" customWidth="1"/>
    <col min="2" max="2" width="20.5" bestFit="1" customWidth="1"/>
    <col min="3" max="3" width="7.6640625" customWidth="1"/>
    <col min="4" max="4" width="17.5" bestFit="1" customWidth="1"/>
    <col min="5" max="5" width="8.1640625" customWidth="1"/>
  </cols>
  <sheetData>
    <row r="1" spans="2:5" ht="17" thickBot="1" x14ac:dyDescent="0.25"/>
    <row r="2" spans="2:5" ht="17" thickBot="1" x14ac:dyDescent="0.25">
      <c r="B2" s="74" t="s">
        <v>7</v>
      </c>
      <c r="C2" s="75"/>
      <c r="D2" s="75"/>
      <c r="E2" s="76"/>
    </row>
    <row r="3" spans="2:5" x14ac:dyDescent="0.2">
      <c r="B3" s="77" t="s">
        <v>8</v>
      </c>
      <c r="C3" s="78"/>
      <c r="D3" s="77" t="s">
        <v>9</v>
      </c>
      <c r="E3" s="78"/>
    </row>
    <row r="4" spans="2:5" x14ac:dyDescent="0.2">
      <c r="B4" s="14" t="s">
        <v>10</v>
      </c>
      <c r="C4" s="15">
        <v>10</v>
      </c>
      <c r="D4" s="16" t="s">
        <v>14</v>
      </c>
      <c r="E4" s="17">
        <f>$C$4*2.54</f>
        <v>25.4</v>
      </c>
    </row>
    <row r="5" spans="2:5" x14ac:dyDescent="0.2">
      <c r="B5" s="14" t="s">
        <v>11</v>
      </c>
      <c r="C5" s="15">
        <v>23</v>
      </c>
      <c r="D5" s="16" t="s">
        <v>15</v>
      </c>
      <c r="E5" s="17">
        <f>($C$5*(9/5))+32</f>
        <v>73.400000000000006</v>
      </c>
    </row>
    <row r="6" spans="2:5" x14ac:dyDescent="0.2">
      <c r="B6" s="14" t="s">
        <v>12</v>
      </c>
      <c r="C6" s="15">
        <v>5</v>
      </c>
      <c r="D6" s="16" t="s">
        <v>17</v>
      </c>
      <c r="E6" s="17">
        <f>$C$6*4.448221615</f>
        <v>22.241108075</v>
      </c>
    </row>
    <row r="7" spans="2:5" ht="17" thickBot="1" x14ac:dyDescent="0.25">
      <c r="B7" s="18" t="s">
        <v>13</v>
      </c>
      <c r="C7" s="19">
        <v>30</v>
      </c>
      <c r="D7" s="20" t="s">
        <v>16</v>
      </c>
      <c r="E7" s="21">
        <f>$C$7*2.2369362921</f>
        <v>67.108088762999998</v>
      </c>
    </row>
  </sheetData>
  <mergeCells count="3">
    <mergeCell ref="B2:E2"/>
    <mergeCell ref="B3:C3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B096-6C1C-44A9-BEA8-ABD60EACE5B8}">
  <dimension ref="B1:C188"/>
  <sheetViews>
    <sheetView workbookViewId="0">
      <selection activeCell="D18" sqref="D18"/>
    </sheetView>
  </sheetViews>
  <sheetFormatPr baseColWidth="10" defaultColWidth="8.83203125" defaultRowHeight="16" x14ac:dyDescent="0.2"/>
  <cols>
    <col min="2" max="2" width="14.6640625" bestFit="1" customWidth="1"/>
    <col min="3" max="3" width="11.6640625" bestFit="1" customWidth="1"/>
  </cols>
  <sheetData>
    <row r="1" spans="2:3" ht="17" thickBot="1" x14ac:dyDescent="0.25"/>
    <row r="2" spans="2:3" ht="17" thickBot="1" x14ac:dyDescent="0.25">
      <c r="B2" s="79" t="s">
        <v>18</v>
      </c>
      <c r="C2" s="80"/>
    </row>
    <row r="3" spans="2:3" ht="18" x14ac:dyDescent="0.25">
      <c r="B3" s="24" t="s">
        <v>22</v>
      </c>
      <c r="C3" s="25">
        <v>800</v>
      </c>
    </row>
    <row r="4" spans="2:3" ht="18" x14ac:dyDescent="0.25">
      <c r="B4" s="14" t="s">
        <v>21</v>
      </c>
      <c r="C4" s="15">
        <v>21</v>
      </c>
    </row>
    <row r="5" spans="2:3" ht="17" thickBot="1" x14ac:dyDescent="0.25">
      <c r="B5" s="18" t="s">
        <v>20</v>
      </c>
      <c r="C5" s="19">
        <v>50</v>
      </c>
    </row>
    <row r="7" spans="2:3" ht="17" thickBot="1" x14ac:dyDescent="0.25">
      <c r="B7" s="13" t="s">
        <v>19</v>
      </c>
      <c r="C7" s="12" t="s">
        <v>23</v>
      </c>
    </row>
    <row r="8" spans="2:3" x14ac:dyDescent="0.2">
      <c r="B8" s="3">
        <v>0</v>
      </c>
      <c r="C8" s="28">
        <f>($C$4)+(($C$3-$C$4)* EXP((-B8)/$C$5))</f>
        <v>800</v>
      </c>
    </row>
    <row r="9" spans="2:3" x14ac:dyDescent="0.2">
      <c r="B9" s="4">
        <v>1</v>
      </c>
      <c r="C9" s="9">
        <f t="shared" ref="C9:C72" si="0">($C$4)+(($C$3-$C$4)* EXP((-B9)/$C$5))</f>
        <v>784.57476650596232</v>
      </c>
    </row>
    <row r="10" spans="2:3" x14ac:dyDescent="0.2">
      <c r="B10" s="4">
        <v>2</v>
      </c>
      <c r="C10" s="9">
        <f t="shared" si="0"/>
        <v>769.45497309965981</v>
      </c>
    </row>
    <row r="11" spans="2:3" x14ac:dyDescent="0.2">
      <c r="B11" s="4">
        <v>3</v>
      </c>
      <c r="C11" s="9">
        <f t="shared" si="0"/>
        <v>754.6345716621297</v>
      </c>
    </row>
    <row r="12" spans="2:3" x14ac:dyDescent="0.2">
      <c r="B12" s="4">
        <v>4</v>
      </c>
      <c r="C12" s="9">
        <f t="shared" si="0"/>
        <v>740.10763383518929</v>
      </c>
    </row>
    <row r="13" spans="2:3" x14ac:dyDescent="0.2">
      <c r="B13" s="4">
        <v>5</v>
      </c>
      <c r="C13" s="9">
        <f t="shared" si="0"/>
        <v>725.86834865001242</v>
      </c>
    </row>
    <row r="14" spans="2:3" x14ac:dyDescent="0.2">
      <c r="B14" s="4">
        <v>6</v>
      </c>
      <c r="C14" s="9">
        <f t="shared" si="0"/>
        <v>711.91102020266567</v>
      </c>
    </row>
    <row r="15" spans="2:3" x14ac:dyDescent="0.2">
      <c r="B15" s="4">
        <v>7</v>
      </c>
      <c r="C15" s="9">
        <f t="shared" si="0"/>
        <v>698.23006537566971</v>
      </c>
    </row>
    <row r="16" spans="2:3" x14ac:dyDescent="0.2">
      <c r="B16" s="4">
        <v>8</v>
      </c>
      <c r="C16" s="9">
        <f t="shared" si="0"/>
        <v>684.8200116046786</v>
      </c>
    </row>
    <row r="17" spans="2:3" x14ac:dyDescent="0.2">
      <c r="B17" s="4">
        <v>9</v>
      </c>
      <c r="C17" s="9">
        <f t="shared" si="0"/>
        <v>671.67549468938091</v>
      </c>
    </row>
    <row r="18" spans="2:3" x14ac:dyDescent="0.2">
      <c r="B18" s="4">
        <v>10</v>
      </c>
      <c r="C18" s="9">
        <f t="shared" si="0"/>
        <v>658.79125664774779</v>
      </c>
    </row>
    <row r="19" spans="2:3" x14ac:dyDescent="0.2">
      <c r="B19" s="4">
        <v>11</v>
      </c>
      <c r="C19" s="9">
        <f t="shared" si="0"/>
        <v>646.16214361277071</v>
      </c>
    </row>
    <row r="20" spans="2:3" x14ac:dyDescent="0.2">
      <c r="B20" s="4">
        <v>12</v>
      </c>
      <c r="C20" s="9">
        <f t="shared" si="0"/>
        <v>633.78310377084517</v>
      </c>
    </row>
    <row r="21" spans="2:3" x14ac:dyDescent="0.2">
      <c r="B21" s="4">
        <v>13</v>
      </c>
      <c r="C21" s="9">
        <f t="shared" si="0"/>
        <v>621.64918534097808</v>
      </c>
    </row>
    <row r="22" spans="2:3" x14ac:dyDescent="0.2">
      <c r="B22" s="4">
        <v>14</v>
      </c>
      <c r="C22" s="9">
        <f t="shared" si="0"/>
        <v>609.7555345940101</v>
      </c>
    </row>
    <row r="23" spans="2:3" x14ac:dyDescent="0.2">
      <c r="B23" s="4">
        <v>15</v>
      </c>
      <c r="C23" s="9">
        <f t="shared" si="0"/>
        <v>598.09739391105825</v>
      </c>
    </row>
    <row r="24" spans="2:3" x14ac:dyDescent="0.2">
      <c r="B24" s="4">
        <v>16</v>
      </c>
      <c r="C24" s="9">
        <f t="shared" si="0"/>
        <v>586.67009988040525</v>
      </c>
    </row>
    <row r="25" spans="2:3" x14ac:dyDescent="0.2">
      <c r="B25" s="4">
        <v>17</v>
      </c>
      <c r="C25" s="9">
        <f t="shared" si="0"/>
        <v>575.46908143207293</v>
      </c>
    </row>
    <row r="26" spans="2:3" x14ac:dyDescent="0.2">
      <c r="B26" s="4">
        <v>18</v>
      </c>
      <c r="C26" s="9">
        <f t="shared" si="0"/>
        <v>564.48985800933315</v>
      </c>
    </row>
    <row r="27" spans="2:3" x14ac:dyDescent="0.2">
      <c r="B27" s="4">
        <v>19</v>
      </c>
      <c r="C27" s="9">
        <f t="shared" si="0"/>
        <v>553.72803777642514</v>
      </c>
    </row>
    <row r="28" spans="2:3" x14ac:dyDescent="0.2">
      <c r="B28" s="4">
        <v>20</v>
      </c>
      <c r="C28" s="9">
        <f t="shared" si="0"/>
        <v>543.17931586176303</v>
      </c>
    </row>
    <row r="29" spans="2:3" x14ac:dyDescent="0.2">
      <c r="B29" s="4">
        <v>21</v>
      </c>
      <c r="C29" s="9">
        <f t="shared" si="0"/>
        <v>532.83947263592927</v>
      </c>
    </row>
    <row r="30" spans="2:3" x14ac:dyDescent="0.2">
      <c r="B30" s="4">
        <v>22</v>
      </c>
      <c r="C30" s="9">
        <f t="shared" si="0"/>
        <v>522.70437202376718</v>
      </c>
    </row>
    <row r="31" spans="2:3" x14ac:dyDescent="0.2">
      <c r="B31" s="4">
        <v>23</v>
      </c>
      <c r="C31" s="9">
        <f t="shared" si="0"/>
        <v>512.76995984989526</v>
      </c>
    </row>
    <row r="32" spans="2:3" x14ac:dyDescent="0.2">
      <c r="B32" s="4">
        <v>24</v>
      </c>
      <c r="C32" s="9">
        <f t="shared" si="0"/>
        <v>503.03226221698372</v>
      </c>
    </row>
    <row r="33" spans="2:3" x14ac:dyDescent="0.2">
      <c r="B33" s="4">
        <v>25</v>
      </c>
      <c r="C33" s="9">
        <f t="shared" si="0"/>
        <v>493.48738391614143</v>
      </c>
    </row>
    <row r="34" spans="2:3" x14ac:dyDescent="0.2">
      <c r="B34" s="4">
        <v>26</v>
      </c>
      <c r="C34" s="9">
        <f t="shared" si="0"/>
        <v>484.1315068687814</v>
      </c>
    </row>
    <row r="35" spans="2:3" x14ac:dyDescent="0.2">
      <c r="B35" s="4">
        <v>27</v>
      </c>
      <c r="C35" s="9">
        <f t="shared" si="0"/>
        <v>474.96088859933792</v>
      </c>
    </row>
    <row r="36" spans="2:3" x14ac:dyDescent="0.2">
      <c r="B36" s="4">
        <v>28</v>
      </c>
      <c r="C36" s="9">
        <f t="shared" si="0"/>
        <v>465.97186073822678</v>
      </c>
    </row>
    <row r="37" spans="2:3" x14ac:dyDescent="0.2">
      <c r="B37" s="4">
        <v>29</v>
      </c>
      <c r="C37" s="9">
        <f t="shared" si="0"/>
        <v>457.16082755444819</v>
      </c>
    </row>
    <row r="38" spans="2:3" x14ac:dyDescent="0.2">
      <c r="B38" s="4">
        <v>30</v>
      </c>
      <c r="C38" s="9">
        <f t="shared" si="0"/>
        <v>448.52426451724654</v>
      </c>
    </row>
    <row r="39" spans="2:3" x14ac:dyDescent="0.2">
      <c r="B39" s="4">
        <v>31</v>
      </c>
      <c r="C39" s="9">
        <f t="shared" si="0"/>
        <v>440.05871688625143</v>
      </c>
    </row>
    <row r="40" spans="2:3" x14ac:dyDescent="0.2">
      <c r="B40" s="4">
        <v>32</v>
      </c>
      <c r="C40" s="9">
        <f t="shared" si="0"/>
        <v>431.76079832953479</v>
      </c>
    </row>
    <row r="41" spans="2:3" x14ac:dyDescent="0.2">
      <c r="B41" s="4">
        <v>33</v>
      </c>
      <c r="C41" s="9">
        <f t="shared" si="0"/>
        <v>423.62718956903365</v>
      </c>
    </row>
    <row r="42" spans="2:3" x14ac:dyDescent="0.2">
      <c r="B42" s="4">
        <v>34</v>
      </c>
      <c r="C42" s="9">
        <f t="shared" si="0"/>
        <v>415.65463705279427</v>
      </c>
    </row>
    <row r="43" spans="2:3" x14ac:dyDescent="0.2">
      <c r="B43" s="4">
        <v>35</v>
      </c>
      <c r="C43" s="9">
        <f t="shared" si="0"/>
        <v>407.83995165350802</v>
      </c>
    </row>
    <row r="44" spans="2:3" x14ac:dyDescent="0.2">
      <c r="B44" s="4">
        <v>36</v>
      </c>
      <c r="C44" s="9">
        <f t="shared" si="0"/>
        <v>400.18000739281791</v>
      </c>
    </row>
    <row r="45" spans="2:3" x14ac:dyDescent="0.2">
      <c r="B45" s="4">
        <v>37</v>
      </c>
      <c r="C45" s="9">
        <f t="shared" si="0"/>
        <v>392.67174019088577</v>
      </c>
    </row>
    <row r="46" spans="2:3" x14ac:dyDescent="0.2">
      <c r="B46" s="4">
        <v>38</v>
      </c>
      <c r="C46" s="9">
        <f t="shared" si="0"/>
        <v>385.31214664071928</v>
      </c>
    </row>
    <row r="47" spans="2:3" x14ac:dyDescent="0.2">
      <c r="B47" s="4">
        <v>39</v>
      </c>
      <c r="C47" s="9">
        <f t="shared" si="0"/>
        <v>378.09828280676913</v>
      </c>
    </row>
    <row r="48" spans="2:3" x14ac:dyDescent="0.2">
      <c r="B48" s="4">
        <v>40</v>
      </c>
      <c r="C48" s="9">
        <f t="shared" si="0"/>
        <v>371.02726304731561</v>
      </c>
    </row>
    <row r="49" spans="2:3" x14ac:dyDescent="0.2">
      <c r="B49" s="4">
        <v>41</v>
      </c>
      <c r="C49" s="9">
        <f t="shared" si="0"/>
        <v>364.09625886017346</v>
      </c>
    </row>
    <row r="50" spans="2:3" x14ac:dyDescent="0.2">
      <c r="B50" s="4">
        <v>42</v>
      </c>
      <c r="C50" s="9">
        <f t="shared" si="0"/>
        <v>357.3024977512531</v>
      </c>
    </row>
    <row r="51" spans="2:3" x14ac:dyDescent="0.2">
      <c r="B51" s="4">
        <v>43</v>
      </c>
      <c r="C51" s="9">
        <f t="shared" si="0"/>
        <v>350.64326212552635</v>
      </c>
    </row>
    <row r="52" spans="2:3" x14ac:dyDescent="0.2">
      <c r="B52" s="4">
        <v>44</v>
      </c>
      <c r="C52" s="9">
        <f t="shared" si="0"/>
        <v>344.11588819995188</v>
      </c>
    </row>
    <row r="53" spans="2:3" x14ac:dyDescent="0.2">
      <c r="B53" s="4">
        <v>45</v>
      </c>
      <c r="C53" s="9">
        <f t="shared" si="0"/>
        <v>337.71776493792669</v>
      </c>
    </row>
    <row r="54" spans="2:3" x14ac:dyDescent="0.2">
      <c r="B54" s="4">
        <v>46</v>
      </c>
      <c r="C54" s="9">
        <f t="shared" si="0"/>
        <v>331.4463330048365</v>
      </c>
    </row>
    <row r="55" spans="2:3" x14ac:dyDescent="0.2">
      <c r="B55" s="4">
        <v>47</v>
      </c>
      <c r="C55" s="9">
        <f t="shared" si="0"/>
        <v>325.29908374428794</v>
      </c>
    </row>
    <row r="56" spans="2:3" x14ac:dyDescent="0.2">
      <c r="B56" s="4">
        <v>48</v>
      </c>
      <c r="C56" s="9">
        <f t="shared" si="0"/>
        <v>319.27355817461228</v>
      </c>
    </row>
    <row r="57" spans="2:3" x14ac:dyDescent="0.2">
      <c r="B57" s="4">
        <v>49</v>
      </c>
      <c r="C57" s="9">
        <f t="shared" si="0"/>
        <v>313.36734600524028</v>
      </c>
    </row>
    <row r="58" spans="2:3" x14ac:dyDescent="0.2">
      <c r="B58" s="4">
        <v>50</v>
      </c>
      <c r="C58" s="9">
        <f t="shared" si="0"/>
        <v>307.57808467255359</v>
      </c>
    </row>
    <row r="59" spans="2:3" x14ac:dyDescent="0.2">
      <c r="B59" s="4">
        <v>51</v>
      </c>
      <c r="C59" s="9">
        <f t="shared" si="0"/>
        <v>301.90345839482802</v>
      </c>
    </row>
    <row r="60" spans="2:3" x14ac:dyDescent="0.2">
      <c r="B60" s="4">
        <v>52</v>
      </c>
      <c r="C60" s="9">
        <f t="shared" si="0"/>
        <v>296.34119724588976</v>
      </c>
    </row>
    <row r="61" spans="2:3" x14ac:dyDescent="0.2">
      <c r="B61" s="4">
        <v>53</v>
      </c>
      <c r="C61" s="9">
        <f t="shared" si="0"/>
        <v>290.8890762471147</v>
      </c>
    </row>
    <row r="62" spans="2:3" x14ac:dyDescent="0.2">
      <c r="B62" s="4">
        <v>54</v>
      </c>
      <c r="C62" s="9">
        <f t="shared" si="0"/>
        <v>285.54491447740759</v>
      </c>
    </row>
    <row r="63" spans="2:3" x14ac:dyDescent="0.2">
      <c r="B63" s="4">
        <v>55</v>
      </c>
      <c r="C63" s="9">
        <f t="shared" si="0"/>
        <v>280.30657420080399</v>
      </c>
    </row>
    <row r="64" spans="2:3" x14ac:dyDescent="0.2">
      <c r="B64" s="4">
        <v>56</v>
      </c>
      <c r="C64" s="9">
        <f t="shared" si="0"/>
        <v>275.17196001134778</v>
      </c>
    </row>
    <row r="65" spans="2:3" x14ac:dyDescent="0.2">
      <c r="B65" s="4">
        <v>57</v>
      </c>
      <c r="C65" s="9">
        <f t="shared" si="0"/>
        <v>270.13901799490077</v>
      </c>
    </row>
    <row r="66" spans="2:3" x14ac:dyDescent="0.2">
      <c r="B66" s="4">
        <v>58</v>
      </c>
      <c r="C66" s="9">
        <f t="shared" si="0"/>
        <v>265.20573490754953</v>
      </c>
    </row>
    <row r="67" spans="2:3" x14ac:dyDescent="0.2">
      <c r="B67" s="4">
        <v>59</v>
      </c>
      <c r="C67" s="9">
        <f t="shared" si="0"/>
        <v>260.37013737028121</v>
      </c>
    </row>
    <row r="68" spans="2:3" x14ac:dyDescent="0.2">
      <c r="B68" s="4">
        <v>60</v>
      </c>
      <c r="C68" s="9">
        <f t="shared" si="0"/>
        <v>255.63029107960546</v>
      </c>
    </row>
    <row r="69" spans="2:3" x14ac:dyDescent="0.2">
      <c r="B69" s="4">
        <v>61</v>
      </c>
      <c r="C69" s="9">
        <f t="shared" si="0"/>
        <v>250.98430003380707</v>
      </c>
    </row>
    <row r="70" spans="2:3" x14ac:dyDescent="0.2">
      <c r="B70" s="4">
        <v>62</v>
      </c>
      <c r="C70" s="9">
        <f t="shared" si="0"/>
        <v>246.43030577452043</v>
      </c>
    </row>
    <row r="71" spans="2:3" x14ac:dyDescent="0.2">
      <c r="B71" s="4">
        <v>63</v>
      </c>
      <c r="C71" s="9">
        <f t="shared" si="0"/>
        <v>241.96648664332113</v>
      </c>
    </row>
    <row r="72" spans="2:3" x14ac:dyDescent="0.2">
      <c r="B72" s="4">
        <v>64</v>
      </c>
      <c r="C72" s="9">
        <f t="shared" si="0"/>
        <v>237.59105705303824</v>
      </c>
    </row>
    <row r="73" spans="2:3" x14ac:dyDescent="0.2">
      <c r="B73" s="4">
        <v>65</v>
      </c>
      <c r="C73" s="9">
        <f t="shared" ref="C73:C136" si="1">($C$4)+(($C$3-$C$4)* EXP((-B73)/$C$5))</f>
        <v>233.3022667734958</v>
      </c>
    </row>
    <row r="74" spans="2:3" x14ac:dyDescent="0.2">
      <c r="B74" s="4">
        <v>66</v>
      </c>
      <c r="C74" s="9">
        <f t="shared" si="1"/>
        <v>229.09840023139742</v>
      </c>
    </row>
    <row r="75" spans="2:3" x14ac:dyDescent="0.2">
      <c r="B75" s="4">
        <v>67</v>
      </c>
      <c r="C75" s="9">
        <f t="shared" si="1"/>
        <v>224.97777582407394</v>
      </c>
    </row>
    <row r="76" spans="2:3" x14ac:dyDescent="0.2">
      <c r="B76" s="4">
        <v>68</v>
      </c>
      <c r="C76" s="9">
        <f t="shared" si="1"/>
        <v>220.93874524682002</v>
      </c>
    </row>
    <row r="77" spans="2:3" x14ac:dyDescent="0.2">
      <c r="B77" s="4">
        <v>69</v>
      </c>
      <c r="C77" s="9">
        <f t="shared" si="1"/>
        <v>216.97969283355033</v>
      </c>
    </row>
    <row r="78" spans="2:3" x14ac:dyDescent="0.2">
      <c r="B78" s="4">
        <v>70</v>
      </c>
      <c r="C78" s="9">
        <f t="shared" si="1"/>
        <v>213.09903491051145</v>
      </c>
    </row>
    <row r="79" spans="2:3" x14ac:dyDescent="0.2">
      <c r="B79" s="4">
        <v>71</v>
      </c>
      <c r="C79" s="9">
        <f t="shared" si="1"/>
        <v>209.2952191627914</v>
      </c>
    </row>
    <row r="80" spans="2:3" x14ac:dyDescent="0.2">
      <c r="B80" s="4">
        <v>72</v>
      </c>
      <c r="C80" s="9">
        <f t="shared" si="1"/>
        <v>205.56672401337286</v>
      </c>
    </row>
    <row r="81" spans="2:3" x14ac:dyDescent="0.2">
      <c r="B81" s="4">
        <v>73</v>
      </c>
      <c r="C81" s="9">
        <f t="shared" si="1"/>
        <v>201.91205801448214</v>
      </c>
    </row>
    <row r="82" spans="2:3" x14ac:dyDescent="0.2">
      <c r="B82" s="4">
        <v>74</v>
      </c>
      <c r="C82" s="9">
        <f t="shared" si="1"/>
        <v>198.32975925099012</v>
      </c>
    </row>
    <row r="83" spans="2:3" x14ac:dyDescent="0.2">
      <c r="B83" s="4">
        <v>75</v>
      </c>
      <c r="C83" s="9">
        <f t="shared" si="1"/>
        <v>194.81839475562683</v>
      </c>
    </row>
    <row r="84" spans="2:3" x14ac:dyDescent="0.2">
      <c r="B84" s="4">
        <v>76</v>
      </c>
      <c r="C84" s="9">
        <f t="shared" si="1"/>
        <v>191.37655993577528</v>
      </c>
    </row>
    <row r="85" spans="2:3" x14ac:dyDescent="0.2">
      <c r="B85" s="4">
        <v>77</v>
      </c>
      <c r="C85" s="9">
        <f t="shared" si="1"/>
        <v>188.00287801161582</v>
      </c>
    </row>
    <row r="86" spans="2:3" x14ac:dyDescent="0.2">
      <c r="B86" s="4">
        <v>78</v>
      </c>
      <c r="C86" s="9">
        <f t="shared" si="1"/>
        <v>184.69599946539572</v>
      </c>
    </row>
    <row r="87" spans="2:3" x14ac:dyDescent="0.2">
      <c r="B87" s="4">
        <v>79</v>
      </c>
      <c r="C87" s="9">
        <f t="shared" si="1"/>
        <v>181.4546015016042</v>
      </c>
    </row>
    <row r="88" spans="2:3" x14ac:dyDescent="0.2">
      <c r="B88" s="4">
        <v>80</v>
      </c>
      <c r="C88" s="9">
        <f t="shared" si="1"/>
        <v>178.27738751783653</v>
      </c>
    </row>
    <row r="89" spans="2:3" x14ac:dyDescent="0.2">
      <c r="B89" s="4">
        <v>81</v>
      </c>
      <c r="C89" s="9">
        <f t="shared" si="1"/>
        <v>175.16308658613582</v>
      </c>
    </row>
    <row r="90" spans="2:3" x14ac:dyDescent="0.2">
      <c r="B90" s="4">
        <v>82</v>
      </c>
      <c r="C90" s="9">
        <f t="shared" si="1"/>
        <v>172.11045294460479</v>
      </c>
    </row>
    <row r="91" spans="2:3" x14ac:dyDescent="0.2">
      <c r="B91" s="4">
        <v>83</v>
      </c>
      <c r="C91" s="9">
        <f t="shared" si="1"/>
        <v>169.11826549908452</v>
      </c>
    </row>
    <row r="92" spans="2:3" x14ac:dyDescent="0.2">
      <c r="B92" s="4">
        <v>84</v>
      </c>
      <c r="C92" s="9">
        <f t="shared" si="1"/>
        <v>166.18532733470036</v>
      </c>
    </row>
    <row r="93" spans="2:3" x14ac:dyDescent="0.2">
      <c r="B93" s="4">
        <v>85</v>
      </c>
      <c r="C93" s="9">
        <f t="shared" si="1"/>
        <v>163.31046523708031</v>
      </c>
    </row>
    <row r="94" spans="2:3" x14ac:dyDescent="0.2">
      <c r="B94" s="4">
        <v>86</v>
      </c>
      <c r="C94" s="9">
        <f t="shared" si="1"/>
        <v>160.49252922305322</v>
      </c>
    </row>
    <row r="95" spans="2:3" x14ac:dyDescent="0.2">
      <c r="B95" s="4">
        <v>87</v>
      </c>
      <c r="C95" s="9">
        <f t="shared" si="1"/>
        <v>157.73039208064057</v>
      </c>
    </row>
    <row r="96" spans="2:3" x14ac:dyDescent="0.2">
      <c r="B96" s="4">
        <v>88</v>
      </c>
      <c r="C96" s="9">
        <f t="shared" si="1"/>
        <v>155.02294891815637</v>
      </c>
    </row>
    <row r="97" spans="2:3" x14ac:dyDescent="0.2">
      <c r="B97" s="4">
        <v>89</v>
      </c>
      <c r="C97" s="9">
        <f t="shared" si="1"/>
        <v>152.3691167222359</v>
      </c>
    </row>
    <row r="98" spans="2:3" x14ac:dyDescent="0.2">
      <c r="B98" s="4">
        <v>90</v>
      </c>
      <c r="C98" s="9">
        <f t="shared" si="1"/>
        <v>149.7678339246159</v>
      </c>
    </row>
    <row r="99" spans="2:3" x14ac:dyDescent="0.2">
      <c r="B99" s="4">
        <v>91</v>
      </c>
      <c r="C99" s="9">
        <f t="shared" si="1"/>
        <v>147.21805997749311</v>
      </c>
    </row>
    <row r="100" spans="2:3" x14ac:dyDescent="0.2">
      <c r="B100" s="4">
        <v>92</v>
      </c>
      <c r="C100" s="9">
        <f t="shared" si="1"/>
        <v>144.71877493729122</v>
      </c>
    </row>
    <row r="101" spans="2:3" x14ac:dyDescent="0.2">
      <c r="B101" s="4">
        <v>93</v>
      </c>
      <c r="C101" s="9">
        <f t="shared" si="1"/>
        <v>142.26897905666991</v>
      </c>
    </row>
    <row r="102" spans="2:3" x14ac:dyDescent="0.2">
      <c r="B102" s="4">
        <v>94</v>
      </c>
      <c r="C102" s="9">
        <f t="shared" si="1"/>
        <v>139.86769238461255</v>
      </c>
    </row>
    <row r="103" spans="2:3" x14ac:dyDescent="0.2">
      <c r="B103" s="4">
        <v>95</v>
      </c>
      <c r="C103" s="9">
        <f t="shared" si="1"/>
        <v>137.51395437443273</v>
      </c>
    </row>
    <row r="104" spans="2:3" x14ac:dyDescent="0.2">
      <c r="B104" s="4">
        <v>96</v>
      </c>
      <c r="C104" s="9">
        <f t="shared" si="1"/>
        <v>135.20682349954276</v>
      </c>
    </row>
    <row r="105" spans="2:3" x14ac:dyDescent="0.2">
      <c r="B105" s="4">
        <v>97</v>
      </c>
      <c r="C105" s="9">
        <f t="shared" si="1"/>
        <v>132.94537687683058</v>
      </c>
    </row>
    <row r="106" spans="2:3" x14ac:dyDescent="0.2">
      <c r="B106" s="4">
        <v>98</v>
      </c>
      <c r="C106" s="9">
        <f t="shared" si="1"/>
        <v>130.72870989749407</v>
      </c>
    </row>
    <row r="107" spans="2:3" x14ac:dyDescent="0.2">
      <c r="B107" s="4">
        <v>99</v>
      </c>
      <c r="C107" s="9">
        <f t="shared" si="1"/>
        <v>128.55593586518552</v>
      </c>
    </row>
    <row r="108" spans="2:3" x14ac:dyDescent="0.2">
      <c r="B108" s="4">
        <v>100</v>
      </c>
      <c r="C108" s="9">
        <f t="shared" si="1"/>
        <v>126.4261856413213</v>
      </c>
    </row>
    <row r="109" spans="2:3" x14ac:dyDescent="0.2">
      <c r="B109" s="4">
        <v>101</v>
      </c>
      <c r="C109" s="9">
        <f t="shared" si="1"/>
        <v>124.33860729741481</v>
      </c>
    </row>
    <row r="110" spans="2:3" x14ac:dyDescent="0.2">
      <c r="B110" s="4">
        <v>102</v>
      </c>
      <c r="C110" s="9">
        <f t="shared" si="1"/>
        <v>122.29236577429378</v>
      </c>
    </row>
    <row r="111" spans="2:3" x14ac:dyDescent="0.2">
      <c r="B111" s="4">
        <v>103</v>
      </c>
      <c r="C111" s="9">
        <f t="shared" si="1"/>
        <v>120.28664254806536</v>
      </c>
    </row>
    <row r="112" spans="2:3" x14ac:dyDescent="0.2">
      <c r="B112" s="4">
        <v>104</v>
      </c>
      <c r="C112" s="9">
        <f t="shared" si="1"/>
        <v>118.32063530269571</v>
      </c>
    </row>
    <row r="113" spans="2:3" x14ac:dyDescent="0.2">
      <c r="B113" s="4">
        <v>105</v>
      </c>
      <c r="C113" s="9">
        <f t="shared" si="1"/>
        <v>116.3935576090729</v>
      </c>
    </row>
    <row r="114" spans="2:3" x14ac:dyDescent="0.2">
      <c r="B114" s="4">
        <v>106</v>
      </c>
      <c r="C114" s="9">
        <f t="shared" si="1"/>
        <v>114.50463861042479</v>
      </c>
    </row>
    <row r="115" spans="2:3" x14ac:dyDescent="0.2">
      <c r="B115" s="4">
        <v>107</v>
      </c>
      <c r="C115" s="9">
        <f t="shared" si="1"/>
        <v>112.65312271396598</v>
      </c>
    </row>
    <row r="116" spans="2:3" x14ac:dyDescent="0.2">
      <c r="B116" s="4">
        <v>108</v>
      </c>
      <c r="C116" s="9">
        <f t="shared" si="1"/>
        <v>110.83826928865069</v>
      </c>
    </row>
    <row r="117" spans="2:3" x14ac:dyDescent="0.2">
      <c r="B117" s="4">
        <v>109</v>
      </c>
      <c r="C117" s="9">
        <f t="shared" si="1"/>
        <v>109.05935236891042</v>
      </c>
    </row>
    <row r="118" spans="2:3" x14ac:dyDescent="0.2">
      <c r="B118" s="4">
        <v>110</v>
      </c>
      <c r="C118" s="9">
        <f t="shared" si="1"/>
        <v>107.31566036425808</v>
      </c>
    </row>
    <row r="119" spans="2:3" x14ac:dyDescent="0.2">
      <c r="B119" s="4">
        <v>111</v>
      </c>
      <c r="C119" s="9">
        <f t="shared" si="1"/>
        <v>105.60649577464226</v>
      </c>
    </row>
    <row r="120" spans="2:3" x14ac:dyDescent="0.2">
      <c r="B120" s="4">
        <v>112</v>
      </c>
      <c r="C120" s="9">
        <f t="shared" si="1"/>
        <v>103.93117491143794</v>
      </c>
    </row>
    <row r="121" spans="2:3" x14ac:dyDescent="0.2">
      <c r="B121" s="4">
        <v>113</v>
      </c>
      <c r="C121" s="9">
        <f t="shared" si="1"/>
        <v>102.28902762396196</v>
      </c>
    </row>
    <row r="122" spans="2:3" x14ac:dyDescent="0.2">
      <c r="B122" s="4">
        <v>114</v>
      </c>
      <c r="C122" s="9">
        <f t="shared" si="1"/>
        <v>100.6793970314037</v>
      </c>
    </row>
    <row r="123" spans="2:3" x14ac:dyDescent="0.2">
      <c r="B123" s="4">
        <v>115</v>
      </c>
      <c r="C123" s="9">
        <f t="shared" si="1"/>
        <v>99.101639260064118</v>
      </c>
    </row>
    <row r="124" spans="2:3" x14ac:dyDescent="0.2">
      <c r="B124" s="4">
        <v>116</v>
      </c>
      <c r="C124" s="9">
        <f t="shared" si="1"/>
        <v>97.55512318579764</v>
      </c>
    </row>
    <row r="125" spans="2:3" x14ac:dyDescent="0.2">
      <c r="B125" s="4">
        <v>117</v>
      </c>
      <c r="C125" s="9">
        <f t="shared" si="1"/>
        <v>96.039230181554075</v>
      </c>
    </row>
    <row r="126" spans="2:3" x14ac:dyDescent="0.2">
      <c r="B126" s="4">
        <v>118</v>
      </c>
      <c r="C126" s="9">
        <f t="shared" si="1"/>
        <v>94.553353869919533</v>
      </c>
    </row>
    <row r="127" spans="2:3" x14ac:dyDescent="0.2">
      <c r="B127" s="4">
        <v>119</v>
      </c>
      <c r="C127" s="9">
        <f t="shared" si="1"/>
        <v>93.09689988055743</v>
      </c>
    </row>
    <row r="128" spans="2:3" x14ac:dyDescent="0.2">
      <c r="B128" s="4">
        <v>120</v>
      </c>
      <c r="C128" s="9">
        <f t="shared" si="1"/>
        <v>91.669285612452342</v>
      </c>
    </row>
    <row r="129" spans="2:3" x14ac:dyDescent="0.2">
      <c r="B129" s="4">
        <v>121</v>
      </c>
      <c r="C129" s="9">
        <f t="shared" si="1"/>
        <v>90.269940000861965</v>
      </c>
    </row>
    <row r="130" spans="2:3" x14ac:dyDescent="0.2">
      <c r="B130" s="4">
        <v>122</v>
      </c>
      <c r="C130" s="9">
        <f t="shared" si="1"/>
        <v>88.898303288883426</v>
      </c>
    </row>
    <row r="131" spans="2:3" x14ac:dyDescent="0.2">
      <c r="B131" s="4">
        <v>123</v>
      </c>
      <c r="C131" s="9">
        <f t="shared" si="1"/>
        <v>87.553826803543245</v>
      </c>
    </row>
    <row r="132" spans="2:3" x14ac:dyDescent="0.2">
      <c r="B132" s="4">
        <v>124</v>
      </c>
      <c r="C132" s="9">
        <f t="shared" si="1"/>
        <v>86.235972736320662</v>
      </c>
    </row>
    <row r="133" spans="2:3" x14ac:dyDescent="0.2">
      <c r="B133" s="4">
        <v>125</v>
      </c>
      <c r="C133" s="9">
        <f t="shared" si="1"/>
        <v>84.944213928017163</v>
      </c>
    </row>
    <row r="134" spans="2:3" x14ac:dyDescent="0.2">
      <c r="B134" s="4">
        <v>126</v>
      </c>
      <c r="C134" s="9">
        <f t="shared" si="1"/>
        <v>83.678033657885777</v>
      </c>
    </row>
    <row r="135" spans="2:3" x14ac:dyDescent="0.2">
      <c r="B135" s="4">
        <v>127</v>
      </c>
      <c r="C135" s="9">
        <f t="shared" si="1"/>
        <v>82.43692543693578</v>
      </c>
    </row>
    <row r="136" spans="2:3" x14ac:dyDescent="0.2">
      <c r="B136" s="4">
        <v>128</v>
      </c>
      <c r="C136" s="9">
        <f t="shared" si="1"/>
        <v>81.220392805330505</v>
      </c>
    </row>
    <row r="137" spans="2:3" x14ac:dyDescent="0.2">
      <c r="B137" s="4">
        <v>129</v>
      </c>
      <c r="C137" s="9">
        <f t="shared" ref="C137:C188" si="2">($C$4)+(($C$3-$C$4)* EXP((-B137)/$C$5))</f>
        <v>80.027949133796625</v>
      </c>
    </row>
    <row r="138" spans="2:3" x14ac:dyDescent="0.2">
      <c r="B138" s="4">
        <v>130</v>
      </c>
      <c r="C138" s="9">
        <f t="shared" si="2"/>
        <v>78.859117428966087</v>
      </c>
    </row>
    <row r="139" spans="2:3" x14ac:dyDescent="0.2">
      <c r="B139" s="4">
        <v>131</v>
      </c>
      <c r="C139" s="9">
        <f t="shared" si="2"/>
        <v>77.713430142572321</v>
      </c>
    </row>
    <row r="140" spans="2:3" x14ac:dyDescent="0.2">
      <c r="B140" s="4">
        <v>132</v>
      </c>
      <c r="C140" s="9">
        <f t="shared" si="2"/>
        <v>76.590428984424733</v>
      </c>
    </row>
    <row r="141" spans="2:3" x14ac:dyDescent="0.2">
      <c r="B141" s="4">
        <v>133</v>
      </c>
      <c r="C141" s="9">
        <f t="shared" si="2"/>
        <v>75.489664739086521</v>
      </c>
    </row>
    <row r="142" spans="2:3" x14ac:dyDescent="0.2">
      <c r="B142" s="4">
        <v>134</v>
      </c>
      <c r="C142" s="9">
        <f t="shared" si="2"/>
        <v>74.410697086182495</v>
      </c>
    </row>
    <row r="143" spans="2:3" x14ac:dyDescent="0.2">
      <c r="B143" s="4">
        <v>135</v>
      </c>
      <c r="C143" s="9">
        <f t="shared" si="2"/>
        <v>73.353094424265066</v>
      </c>
    </row>
    <row r="144" spans="2:3" x14ac:dyDescent="0.2">
      <c r="B144" s="4">
        <v>136</v>
      </c>
      <c r="C144" s="9">
        <f t="shared" si="2"/>
        <v>72.316433698167899</v>
      </c>
    </row>
    <row r="145" spans="2:3" x14ac:dyDescent="0.2">
      <c r="B145" s="4">
        <v>137</v>
      </c>
      <c r="C145" s="9">
        <f t="shared" si="2"/>
        <v>71.30030022977823</v>
      </c>
    </row>
    <row r="146" spans="2:3" x14ac:dyDescent="0.2">
      <c r="B146" s="4">
        <v>138</v>
      </c>
      <c r="C146" s="9">
        <f t="shared" si="2"/>
        <v>70.304287552160133</v>
      </c>
    </row>
    <row r="147" spans="2:3" x14ac:dyDescent="0.2">
      <c r="B147" s="4">
        <v>139</v>
      </c>
      <c r="C147" s="9">
        <f t="shared" si="2"/>
        <v>69.327997246962127</v>
      </c>
    </row>
    <row r="148" spans="2:3" x14ac:dyDescent="0.2">
      <c r="B148" s="4">
        <v>140</v>
      </c>
      <c r="C148" s="9">
        <f t="shared" si="2"/>
        <v>68.371038785044803</v>
      </c>
    </row>
    <row r="149" spans="2:3" x14ac:dyDescent="0.2">
      <c r="B149" s="4">
        <v>141</v>
      </c>
      <c r="C149" s="9">
        <f t="shared" si="2"/>
        <v>67.433029370263768</v>
      </c>
    </row>
    <row r="150" spans="2:3" x14ac:dyDescent="0.2">
      <c r="B150" s="4">
        <v>142</v>
      </c>
      <c r="C150" s="9">
        <f t="shared" si="2"/>
        <v>66.513593786346149</v>
      </c>
    </row>
    <row r="151" spans="2:3" x14ac:dyDescent="0.2">
      <c r="B151" s="4">
        <v>143</v>
      </c>
      <c r="C151" s="9">
        <f t="shared" si="2"/>
        <v>65.612364246799075</v>
      </c>
    </row>
    <row r="152" spans="2:3" x14ac:dyDescent="0.2">
      <c r="B152" s="4">
        <v>144</v>
      </c>
      <c r="C152" s="9">
        <f t="shared" si="2"/>
        <v>64.728980247790162</v>
      </c>
    </row>
    <row r="153" spans="2:3" x14ac:dyDescent="0.2">
      <c r="B153" s="4">
        <v>145</v>
      </c>
      <c r="C153" s="9">
        <f t="shared" si="2"/>
        <v>63.863088423941235</v>
      </c>
    </row>
    <row r="154" spans="2:3" x14ac:dyDescent="0.2">
      <c r="B154" s="4">
        <v>146</v>
      </c>
      <c r="C154" s="9">
        <f t="shared" si="2"/>
        <v>63.014342406977342</v>
      </c>
    </row>
    <row r="155" spans="2:3" x14ac:dyDescent="0.2">
      <c r="B155" s="4">
        <v>147</v>
      </c>
      <c r="C155" s="9">
        <f t="shared" si="2"/>
        <v>62.182402687174935</v>
      </c>
    </row>
    <row r="156" spans="2:3" x14ac:dyDescent="0.2">
      <c r="B156" s="4">
        <v>148</v>
      </c>
      <c r="C156" s="9">
        <f t="shared" si="2"/>
        <v>61.366936477553423</v>
      </c>
    </row>
    <row r="157" spans="2:3" x14ac:dyDescent="0.2">
      <c r="B157" s="4">
        <v>149</v>
      </c>
      <c r="C157" s="9">
        <f t="shared" si="2"/>
        <v>60.567617580755936</v>
      </c>
    </row>
    <row r="158" spans="2:3" x14ac:dyDescent="0.2">
      <c r="B158" s="4">
        <v>150</v>
      </c>
      <c r="C158" s="9">
        <f t="shared" si="2"/>
        <v>59.784126258566012</v>
      </c>
    </row>
    <row r="159" spans="2:3" x14ac:dyDescent="0.2">
      <c r="B159" s="4">
        <v>151</v>
      </c>
      <c r="C159" s="9">
        <f t="shared" si="2"/>
        <v>59.0161491040081</v>
      </c>
    </row>
    <row r="160" spans="2:3" x14ac:dyDescent="0.2">
      <c r="B160" s="4">
        <v>152</v>
      </c>
      <c r="C160" s="9">
        <f t="shared" si="2"/>
        <v>58.263378915980532</v>
      </c>
    </row>
    <row r="161" spans="2:3" x14ac:dyDescent="0.2">
      <c r="B161" s="4">
        <v>153</v>
      </c>
      <c r="C161" s="9">
        <f t="shared" si="2"/>
        <v>57.52551457637103</v>
      </c>
    </row>
    <row r="162" spans="2:3" x14ac:dyDescent="0.2">
      <c r="B162" s="4">
        <v>154</v>
      </c>
      <c r="C162" s="9">
        <f t="shared" si="2"/>
        <v>56.802260929605438</v>
      </c>
    </row>
    <row r="163" spans="2:3" x14ac:dyDescent="0.2">
      <c r="B163" s="4">
        <v>155</v>
      </c>
      <c r="C163" s="9">
        <f t="shared" si="2"/>
        <v>56.093328664581527</v>
      </c>
    </row>
    <row r="164" spans="2:3" x14ac:dyDescent="0.2">
      <c r="B164" s="4">
        <v>156</v>
      </c>
      <c r="C164" s="9">
        <f t="shared" si="2"/>
        <v>55.398434198940741</v>
      </c>
    </row>
    <row r="165" spans="2:3" x14ac:dyDescent="0.2">
      <c r="B165" s="4">
        <v>157</v>
      </c>
      <c r="C165" s="9">
        <f t="shared" si="2"/>
        <v>54.717299565631436</v>
      </c>
    </row>
    <row r="166" spans="2:3" x14ac:dyDescent="0.2">
      <c r="B166" s="4">
        <v>158</v>
      </c>
      <c r="C166" s="9">
        <f t="shared" si="2"/>
        <v>54.049652301718368</v>
      </c>
    </row>
    <row r="167" spans="2:3" x14ac:dyDescent="0.2">
      <c r="B167" s="4">
        <v>159</v>
      </c>
      <c r="C167" s="9">
        <f t="shared" si="2"/>
        <v>53.395225339393889</v>
      </c>
    </row>
    <row r="168" spans="2:3" x14ac:dyDescent="0.2">
      <c r="B168" s="4">
        <v>160</v>
      </c>
      <c r="C168" s="9">
        <f t="shared" si="2"/>
        <v>52.753756899147277</v>
      </c>
    </row>
    <row r="169" spans="2:3" x14ac:dyDescent="0.2">
      <c r="B169" s="4">
        <v>161</v>
      </c>
      <c r="C169" s="9">
        <f t="shared" si="2"/>
        <v>52.124990385049387</v>
      </c>
    </row>
    <row r="170" spans="2:3" x14ac:dyDescent="0.2">
      <c r="B170" s="4">
        <v>162</v>
      </c>
      <c r="C170" s="9">
        <f t="shared" si="2"/>
        <v>51.508674282110924</v>
      </c>
    </row>
    <row r="171" spans="2:3" x14ac:dyDescent="0.2">
      <c r="B171" s="4">
        <v>163</v>
      </c>
      <c r="C171" s="9">
        <f t="shared" si="2"/>
        <v>50.904562055673068</v>
      </c>
    </row>
    <row r="172" spans="2:3" x14ac:dyDescent="0.2">
      <c r="B172" s="4">
        <v>164</v>
      </c>
      <c r="C172" s="9">
        <f t="shared" si="2"/>
        <v>50.312412052790279</v>
      </c>
    </row>
    <row r="173" spans="2:3" x14ac:dyDescent="0.2">
      <c r="B173" s="4">
        <v>165</v>
      </c>
      <c r="C173" s="9">
        <f t="shared" si="2"/>
        <v>49.731987405565974</v>
      </c>
    </row>
    <row r="174" spans="2:3" x14ac:dyDescent="0.2">
      <c r="B174" s="4">
        <v>166</v>
      </c>
      <c r="C174" s="9">
        <f t="shared" si="2"/>
        <v>49.163055936402166</v>
      </c>
    </row>
    <row r="175" spans="2:3" x14ac:dyDescent="0.2">
      <c r="B175" s="4">
        <v>167</v>
      </c>
      <c r="C175" s="9">
        <f t="shared" si="2"/>
        <v>48.605390065125341</v>
      </c>
    </row>
    <row r="176" spans="2:3" x14ac:dyDescent="0.2">
      <c r="B176" s="4">
        <v>168</v>
      </c>
      <c r="C176" s="9">
        <f t="shared" si="2"/>
        <v>48.058766717951343</v>
      </c>
    </row>
    <row r="177" spans="2:3" x14ac:dyDescent="0.2">
      <c r="B177" s="4">
        <v>169</v>
      </c>
      <c r="C177" s="9">
        <f t="shared" si="2"/>
        <v>47.522967238252889</v>
      </c>
    </row>
    <row r="178" spans="2:3" x14ac:dyDescent="0.2">
      <c r="B178" s="4">
        <v>170</v>
      </c>
      <c r="C178" s="9">
        <f t="shared" si="2"/>
        <v>46.997777299094011</v>
      </c>
    </row>
    <row r="179" spans="2:3" x14ac:dyDescent="0.2">
      <c r="B179" s="4">
        <v>171</v>
      </c>
      <c r="C179" s="9">
        <f t="shared" si="2"/>
        <v>46.482986817496439</v>
      </c>
    </row>
    <row r="180" spans="2:3" x14ac:dyDescent="0.2">
      <c r="B180" s="4">
        <v>172</v>
      </c>
      <c r="C180" s="9">
        <f t="shared" si="2"/>
        <v>45.978389870403539</v>
      </c>
    </row>
    <row r="181" spans="2:3" x14ac:dyDescent="0.2">
      <c r="B181" s="4">
        <v>173</v>
      </c>
      <c r="C181" s="9">
        <f t="shared" si="2"/>
        <v>45.483784612308447</v>
      </c>
    </row>
    <row r="182" spans="2:3" x14ac:dyDescent="0.2">
      <c r="B182" s="4">
        <v>174</v>
      </c>
      <c r="C182" s="9">
        <f t="shared" si="2"/>
        <v>44.998973194513084</v>
      </c>
    </row>
    <row r="183" spans="2:3" x14ac:dyDescent="0.2">
      <c r="B183" s="4">
        <v>175</v>
      </c>
      <c r="C183" s="9">
        <f t="shared" si="2"/>
        <v>44.523761685986116</v>
      </c>
    </row>
    <row r="184" spans="2:3" x14ac:dyDescent="0.2">
      <c r="B184" s="4">
        <v>176</v>
      </c>
      <c r="C184" s="9">
        <f t="shared" si="2"/>
        <v>44.057959995787868</v>
      </c>
    </row>
    <row r="185" spans="2:3" x14ac:dyDescent="0.2">
      <c r="B185" s="4">
        <v>177</v>
      </c>
      <c r="C185" s="9">
        <f t="shared" si="2"/>
        <v>43.601381797031507</v>
      </c>
    </row>
    <row r="186" spans="2:3" x14ac:dyDescent="0.2">
      <c r="B186" s="4">
        <v>178</v>
      </c>
      <c r="C186" s="9">
        <f t="shared" si="2"/>
        <v>43.15384445234973</v>
      </c>
    </row>
    <row r="187" spans="2:3" x14ac:dyDescent="0.2">
      <c r="B187" s="4">
        <v>179</v>
      </c>
      <c r="C187" s="9">
        <f t="shared" si="2"/>
        <v>42.71516894083743</v>
      </c>
    </row>
    <row r="188" spans="2:3" x14ac:dyDescent="0.2">
      <c r="B188" s="10">
        <v>180</v>
      </c>
      <c r="C188" s="11">
        <f t="shared" si="2"/>
        <v>42.285179786440906</v>
      </c>
    </row>
  </sheetData>
  <mergeCells count="1">
    <mergeCell ref="B2:C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56E1-DD1B-414A-9C56-BE84FC253301}">
  <dimension ref="B1:I17"/>
  <sheetViews>
    <sheetView workbookViewId="0">
      <selection activeCell="B2" sqref="B2:I17"/>
    </sheetView>
  </sheetViews>
  <sheetFormatPr baseColWidth="10" defaultColWidth="8.83203125" defaultRowHeight="16" x14ac:dyDescent="0.2"/>
  <cols>
    <col min="2" max="2" width="10.5" bestFit="1" customWidth="1"/>
    <col min="3" max="3" width="9.5" customWidth="1"/>
  </cols>
  <sheetData>
    <row r="1" spans="2:9" ht="17" thickBot="1" x14ac:dyDescent="0.25"/>
    <row r="2" spans="2:9" ht="17" thickBot="1" x14ac:dyDescent="0.25">
      <c r="B2" s="31" t="s">
        <v>24</v>
      </c>
      <c r="C2" s="81" t="s">
        <v>30</v>
      </c>
      <c r="D2" s="82"/>
      <c r="E2" s="82"/>
      <c r="F2" s="82"/>
      <c r="G2" s="83"/>
      <c r="H2" s="82"/>
      <c r="I2" s="84"/>
    </row>
    <row r="3" spans="2:9" ht="17" thickBot="1" x14ac:dyDescent="0.25">
      <c r="B3" s="31" t="s">
        <v>25</v>
      </c>
      <c r="C3" s="2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23">
        <v>7</v>
      </c>
    </row>
    <row r="4" spans="2:9" x14ac:dyDescent="0.2">
      <c r="B4" s="33" t="s">
        <v>26</v>
      </c>
      <c r="C4" s="34">
        <v>95</v>
      </c>
      <c r="D4" s="35">
        <v>60</v>
      </c>
      <c r="E4" s="35">
        <v>89</v>
      </c>
      <c r="F4" s="35">
        <v>90</v>
      </c>
      <c r="G4" s="35">
        <v>92</v>
      </c>
      <c r="H4" s="35">
        <v>80</v>
      </c>
      <c r="I4" s="36">
        <v>87</v>
      </c>
    </row>
    <row r="5" spans="2:9" x14ac:dyDescent="0.2">
      <c r="B5" s="37" t="s">
        <v>27</v>
      </c>
      <c r="C5" s="38">
        <v>92</v>
      </c>
      <c r="D5" s="39">
        <v>100</v>
      </c>
      <c r="E5" s="39">
        <v>93</v>
      </c>
      <c r="F5" s="39">
        <v>87</v>
      </c>
      <c r="G5" s="39">
        <v>90</v>
      </c>
      <c r="H5" s="39">
        <v>85</v>
      </c>
      <c r="I5" s="40">
        <v>90</v>
      </c>
    </row>
    <row r="6" spans="2:9" x14ac:dyDescent="0.2">
      <c r="B6" s="37" t="s">
        <v>28</v>
      </c>
      <c r="C6" s="38">
        <v>88</v>
      </c>
      <c r="D6" s="39">
        <v>60</v>
      </c>
      <c r="E6" s="39">
        <v>76</v>
      </c>
      <c r="F6" s="39">
        <v>89</v>
      </c>
      <c r="G6" s="39">
        <v>70</v>
      </c>
      <c r="H6" s="39">
        <v>40</v>
      </c>
      <c r="I6" s="40">
        <v>60</v>
      </c>
    </row>
    <row r="7" spans="2:9" x14ac:dyDescent="0.2">
      <c r="B7" s="37" t="s">
        <v>29</v>
      </c>
      <c r="C7" s="38">
        <v>90</v>
      </c>
      <c r="D7" s="39">
        <v>87</v>
      </c>
      <c r="E7" s="39">
        <v>70</v>
      </c>
      <c r="F7" s="39">
        <v>89</v>
      </c>
      <c r="G7" s="39">
        <v>92</v>
      </c>
      <c r="H7" s="39">
        <v>85</v>
      </c>
      <c r="I7" s="40">
        <v>85</v>
      </c>
    </row>
    <row r="8" spans="2:9" ht="17" thickBot="1" x14ac:dyDescent="0.25">
      <c r="B8" s="41" t="s">
        <v>34</v>
      </c>
      <c r="C8" s="42">
        <v>78</v>
      </c>
      <c r="D8" s="43">
        <v>90</v>
      </c>
      <c r="E8" s="43">
        <v>94</v>
      </c>
      <c r="F8" s="43">
        <v>89</v>
      </c>
      <c r="G8" s="43">
        <v>98</v>
      </c>
      <c r="H8" s="43">
        <v>95</v>
      </c>
      <c r="I8" s="44">
        <v>97</v>
      </c>
    </row>
    <row r="9" spans="2:9" ht="17" thickBot="1" x14ac:dyDescent="0.25">
      <c r="B9" s="1"/>
      <c r="C9" s="1"/>
      <c r="D9" s="1"/>
      <c r="E9" s="1"/>
      <c r="F9" s="1"/>
      <c r="G9" s="1"/>
      <c r="H9" s="1"/>
      <c r="I9" s="1"/>
    </row>
    <row r="10" spans="2:9" ht="17" thickBot="1" x14ac:dyDescent="0.25">
      <c r="B10" s="6" t="s">
        <v>31</v>
      </c>
      <c r="C10" s="7" t="s">
        <v>32</v>
      </c>
      <c r="D10" s="8" t="s">
        <v>33</v>
      </c>
      <c r="E10" s="1"/>
      <c r="F10" s="1"/>
      <c r="G10" s="1"/>
      <c r="H10" s="1"/>
      <c r="I10" s="1"/>
    </row>
    <row r="11" spans="2:9" x14ac:dyDescent="0.2">
      <c r="B11" s="5">
        <v>1</v>
      </c>
      <c r="C11" s="52">
        <f>AVERAGE(C$4:C$8)</f>
        <v>88.6</v>
      </c>
      <c r="D11" s="45" t="str">
        <f>IF(C11&gt;=90, "A", IF(C11&gt;=80, "B", IF(C11&gt;=70, "C", IF(C11&gt;=60, "D", "F"))))</f>
        <v>B</v>
      </c>
      <c r="E11" s="1"/>
      <c r="F11" s="1"/>
      <c r="G11" s="1"/>
      <c r="H11" s="1"/>
      <c r="I11" s="1"/>
    </row>
    <row r="12" spans="2:9" x14ac:dyDescent="0.2">
      <c r="B12" s="46">
        <v>2</v>
      </c>
      <c r="C12" s="47">
        <f>AVERAGE(D$4:D$8)</f>
        <v>79.400000000000006</v>
      </c>
      <c r="D12" s="48" t="str">
        <f t="shared" ref="D12:D17" si="0">IF(C12&gt;=90, "A", IF(C12&gt;=80, "B", IF(C12&gt;=70, "C", IF(C12&gt;=60, "D", "F"))))</f>
        <v>C</v>
      </c>
      <c r="E12" s="1"/>
      <c r="F12" s="1"/>
      <c r="G12" s="1"/>
      <c r="H12" s="1"/>
      <c r="I12" s="1"/>
    </row>
    <row r="13" spans="2:9" x14ac:dyDescent="0.2">
      <c r="B13" s="46">
        <v>3</v>
      </c>
      <c r="C13" s="47">
        <f>AVERAGE(E$4:E$8)</f>
        <v>84.4</v>
      </c>
      <c r="D13" s="48" t="str">
        <f t="shared" si="0"/>
        <v>B</v>
      </c>
      <c r="E13" s="1"/>
      <c r="F13" s="1"/>
      <c r="G13" s="1"/>
      <c r="H13" s="1"/>
      <c r="I13" s="1"/>
    </row>
    <row r="14" spans="2:9" x14ac:dyDescent="0.2">
      <c r="B14" s="46">
        <v>4</v>
      </c>
      <c r="C14" s="47">
        <f>AVERAGE(F$4:F$8)</f>
        <v>88.8</v>
      </c>
      <c r="D14" s="48" t="str">
        <f t="shared" si="0"/>
        <v>B</v>
      </c>
      <c r="E14" s="1"/>
      <c r="F14" s="1"/>
      <c r="G14" s="1"/>
      <c r="H14" s="1"/>
      <c r="I14" s="1"/>
    </row>
    <row r="15" spans="2:9" x14ac:dyDescent="0.2">
      <c r="B15" s="46">
        <v>5</v>
      </c>
      <c r="C15" s="47">
        <f>AVERAGE(G$4:G$8)</f>
        <v>88.4</v>
      </c>
      <c r="D15" s="48" t="str">
        <f t="shared" si="0"/>
        <v>B</v>
      </c>
      <c r="E15" s="1"/>
      <c r="F15" s="1"/>
      <c r="G15" s="1"/>
      <c r="H15" s="1"/>
      <c r="I15" s="1"/>
    </row>
    <row r="16" spans="2:9" x14ac:dyDescent="0.2">
      <c r="B16" s="46">
        <v>6</v>
      </c>
      <c r="C16" s="47">
        <f>AVERAGE(H$4:H$8)</f>
        <v>77</v>
      </c>
      <c r="D16" s="48" t="str">
        <f t="shared" si="0"/>
        <v>C</v>
      </c>
      <c r="E16" s="1"/>
      <c r="F16" s="1"/>
      <c r="G16" s="1"/>
      <c r="H16" s="1"/>
      <c r="I16" s="1"/>
    </row>
    <row r="17" spans="2:9" x14ac:dyDescent="0.2">
      <c r="B17" s="49">
        <v>7</v>
      </c>
      <c r="C17" s="50">
        <f>AVERAGE(I$4:I$8)</f>
        <v>83.8</v>
      </c>
      <c r="D17" s="51" t="str">
        <f t="shared" si="0"/>
        <v>B</v>
      </c>
      <c r="E17" s="1"/>
      <c r="F17" s="1"/>
      <c r="G17" s="1"/>
      <c r="H17" s="1"/>
      <c r="I17" s="1"/>
    </row>
  </sheetData>
  <mergeCells count="1">
    <mergeCell ref="C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F843-7F2A-4465-A0BB-B9FD0234CA4D}">
  <dimension ref="B1:H611"/>
  <sheetViews>
    <sheetView tabSelected="1" zoomScaleNormal="100" workbookViewId="0">
      <selection activeCell="F4" sqref="F4"/>
    </sheetView>
  </sheetViews>
  <sheetFormatPr baseColWidth="10" defaultColWidth="8.83203125" defaultRowHeight="16" x14ac:dyDescent="0.2"/>
  <cols>
    <col min="2" max="2" width="13.83203125" customWidth="1"/>
    <col min="3" max="3" width="9.5" customWidth="1"/>
    <col min="4" max="4" width="13.5" customWidth="1"/>
    <col min="5" max="5" width="6" bestFit="1" customWidth="1"/>
    <col min="6" max="6" width="12.1640625" customWidth="1"/>
    <col min="7" max="8" width="11.5" bestFit="1" customWidth="1"/>
    <col min="10" max="10" width="8.83203125" customWidth="1"/>
  </cols>
  <sheetData>
    <row r="1" spans="2:8" ht="17" thickBot="1" x14ac:dyDescent="0.25"/>
    <row r="2" spans="2:8" ht="17" thickBot="1" x14ac:dyDescent="0.25">
      <c r="B2" s="85" t="s">
        <v>36</v>
      </c>
      <c r="C2" s="82"/>
      <c r="D2" s="84"/>
      <c r="E2" s="1"/>
      <c r="F2" s="85" t="s">
        <v>45</v>
      </c>
      <c r="G2" s="82"/>
      <c r="H2" s="84"/>
    </row>
    <row r="3" spans="2:8" x14ac:dyDescent="0.2">
      <c r="B3" s="67" t="s">
        <v>41</v>
      </c>
      <c r="C3" s="68" t="s">
        <v>35</v>
      </c>
      <c r="D3" s="57" t="s">
        <v>43</v>
      </c>
      <c r="E3" s="1"/>
      <c r="F3" s="67" t="s">
        <v>44</v>
      </c>
      <c r="G3" s="68" t="s">
        <v>35</v>
      </c>
      <c r="H3" s="57" t="s">
        <v>43</v>
      </c>
    </row>
    <row r="4" spans="2:8" ht="17" thickBot="1" x14ac:dyDescent="0.25">
      <c r="B4" s="37" t="s">
        <v>42</v>
      </c>
      <c r="C4" s="46">
        <v>2.77</v>
      </c>
      <c r="D4" s="56">
        <v>0.875</v>
      </c>
      <c r="E4" s="1"/>
      <c r="F4" s="41" t="s">
        <v>40</v>
      </c>
      <c r="G4" s="53">
        <f>VLOOKUP(F4, B3:D8,2,FALSE)</f>
        <v>7.83</v>
      </c>
      <c r="H4" s="54">
        <f>VLOOKUP(F4, B3:D8,3,FALSE)</f>
        <v>0.434</v>
      </c>
    </row>
    <row r="5" spans="2:8" x14ac:dyDescent="0.2">
      <c r="B5" s="37" t="s">
        <v>37</v>
      </c>
      <c r="C5" s="46">
        <v>8.94</v>
      </c>
      <c r="D5" s="56">
        <v>0.38500000000000001</v>
      </c>
      <c r="E5" s="1"/>
      <c r="G5" s="55"/>
      <c r="H5" s="1"/>
    </row>
    <row r="6" spans="2:8" ht="17" thickBot="1" x14ac:dyDescent="0.25">
      <c r="B6" s="37" t="s">
        <v>38</v>
      </c>
      <c r="C6" s="46">
        <v>19.3</v>
      </c>
      <c r="D6" s="56">
        <v>0.129</v>
      </c>
      <c r="E6" s="1"/>
      <c r="H6" s="1"/>
    </row>
    <row r="7" spans="2:8" x14ac:dyDescent="0.2">
      <c r="B7" s="37" t="s">
        <v>39</v>
      </c>
      <c r="C7" s="46">
        <v>8.9</v>
      </c>
      <c r="D7" s="56">
        <v>0.44400000000000001</v>
      </c>
      <c r="E7" s="1"/>
      <c r="F7" s="58" t="s">
        <v>46</v>
      </c>
      <c r="G7" s="60">
        <f>($G$4*$H$4*$C$11)/(6*$G$8)</f>
        <v>0.94395000000000007</v>
      </c>
      <c r="H7" s="1"/>
    </row>
    <row r="8" spans="2:8" ht="18" thickBot="1" x14ac:dyDescent="0.25">
      <c r="B8" s="41" t="s">
        <v>40</v>
      </c>
      <c r="C8" s="53">
        <v>7.83</v>
      </c>
      <c r="D8" s="54">
        <v>0.434</v>
      </c>
      <c r="F8" s="59" t="s">
        <v>49</v>
      </c>
      <c r="G8" s="61">
        <v>0.3</v>
      </c>
      <c r="H8" s="1"/>
    </row>
    <row r="9" spans="2:8" ht="17" thickBot="1" x14ac:dyDescent="0.25"/>
    <row r="10" spans="2:8" ht="17" thickBot="1" x14ac:dyDescent="0.25">
      <c r="B10" s="86" t="s">
        <v>48</v>
      </c>
      <c r="C10" s="84"/>
      <c r="F10" s="29" t="s">
        <v>19</v>
      </c>
      <c r="G10" s="29" t="s">
        <v>47</v>
      </c>
    </row>
    <row r="11" spans="2:8" ht="17" x14ac:dyDescent="0.2">
      <c r="B11" s="69" t="s">
        <v>50</v>
      </c>
      <c r="C11" s="64">
        <v>0.5</v>
      </c>
      <c r="F11" s="3">
        <v>0</v>
      </c>
      <c r="G11" s="26">
        <f>($C$13)+(($C$12-$C$13)* EXP((-F11)/$G$7))</f>
        <v>400</v>
      </c>
    </row>
    <row r="12" spans="2:8" ht="34" x14ac:dyDescent="0.2">
      <c r="B12" s="70" t="s">
        <v>51</v>
      </c>
      <c r="C12" s="65">
        <v>400</v>
      </c>
      <c r="F12" s="4">
        <v>1</v>
      </c>
      <c r="G12" s="62">
        <f t="shared" ref="G12:G75" si="0">$C$13+($C$12-$C$13)* EXP((-F12)/$G$7)</f>
        <v>204.00139677991956</v>
      </c>
    </row>
    <row r="13" spans="2:8" ht="18" thickBot="1" x14ac:dyDescent="0.25">
      <c r="B13" s="66" t="s">
        <v>52</v>
      </c>
      <c r="C13" s="63">
        <v>100</v>
      </c>
      <c r="F13" s="4">
        <v>2</v>
      </c>
      <c r="G13" s="62">
        <f t="shared" si="0"/>
        <v>136.05430177391423</v>
      </c>
    </row>
    <row r="14" spans="2:8" x14ac:dyDescent="0.2">
      <c r="F14" s="4">
        <v>3</v>
      </c>
      <c r="G14" s="62">
        <f t="shared" si="0"/>
        <v>112.49899248137271</v>
      </c>
    </row>
    <row r="15" spans="2:8" x14ac:dyDescent="0.2">
      <c r="F15" s="4">
        <v>4</v>
      </c>
      <c r="G15" s="62">
        <f t="shared" si="0"/>
        <v>104.33304225468159</v>
      </c>
    </row>
    <row r="16" spans="2:8" x14ac:dyDescent="0.2">
      <c r="F16" s="4">
        <v>5</v>
      </c>
      <c r="G16" s="62">
        <f t="shared" si="0"/>
        <v>101.50214148931099</v>
      </c>
    </row>
    <row r="17" spans="6:7" x14ac:dyDescent="0.2">
      <c r="F17" s="4">
        <v>6</v>
      </c>
      <c r="G17" s="62">
        <f t="shared" si="0"/>
        <v>100.52074937683138</v>
      </c>
    </row>
    <row r="18" spans="6:7" x14ac:dyDescent="0.2">
      <c r="F18" s="4">
        <v>7</v>
      </c>
      <c r="G18" s="62">
        <f t="shared" si="0"/>
        <v>100.18052887520912</v>
      </c>
    </row>
    <row r="19" spans="6:7" x14ac:dyDescent="0.2">
      <c r="F19" s="4">
        <v>8</v>
      </c>
      <c r="G19" s="62">
        <f t="shared" si="0"/>
        <v>100.06258418393618</v>
      </c>
    </row>
    <row r="20" spans="6:7" x14ac:dyDescent="0.2">
      <c r="F20" s="4">
        <v>9</v>
      </c>
      <c r="G20" s="62">
        <f t="shared" si="0"/>
        <v>100.02169614181898</v>
      </c>
    </row>
    <row r="21" spans="6:7" x14ac:dyDescent="0.2">
      <c r="F21" s="4">
        <v>10</v>
      </c>
      <c r="G21" s="62">
        <f t="shared" si="0"/>
        <v>100.00752143017969</v>
      </c>
    </row>
    <row r="22" spans="6:7" x14ac:dyDescent="0.2">
      <c r="F22" s="4">
        <v>11</v>
      </c>
      <c r="G22" s="62">
        <f t="shared" si="0"/>
        <v>100.00260746414824</v>
      </c>
    </row>
    <row r="23" spans="6:7" x14ac:dyDescent="0.2">
      <c r="F23" s="4">
        <v>12</v>
      </c>
      <c r="G23" s="62">
        <f t="shared" si="0"/>
        <v>100.0009039330449</v>
      </c>
    </row>
    <row r="24" spans="6:7" x14ac:dyDescent="0.2">
      <c r="F24" s="4">
        <v>13</v>
      </c>
      <c r="G24" s="62">
        <f t="shared" si="0"/>
        <v>100.00031336766422</v>
      </c>
    </row>
    <row r="25" spans="6:7" x14ac:dyDescent="0.2">
      <c r="F25" s="4">
        <v>14</v>
      </c>
      <c r="G25" s="62">
        <f t="shared" si="0"/>
        <v>100.00010863558262</v>
      </c>
    </row>
    <row r="26" spans="6:7" x14ac:dyDescent="0.2">
      <c r="F26" s="4">
        <v>15</v>
      </c>
      <c r="G26" s="62">
        <f t="shared" si="0"/>
        <v>100.0000376608411</v>
      </c>
    </row>
    <row r="27" spans="6:7" x14ac:dyDescent="0.2">
      <c r="F27" s="4">
        <v>16</v>
      </c>
      <c r="G27" s="62">
        <f t="shared" si="0"/>
        <v>100.00001305593359</v>
      </c>
    </row>
    <row r="28" spans="6:7" x14ac:dyDescent="0.2">
      <c r="F28" s="4">
        <v>17</v>
      </c>
      <c r="G28" s="62">
        <f t="shared" si="0"/>
        <v>100.00000452611776</v>
      </c>
    </row>
    <row r="29" spans="6:7" x14ac:dyDescent="0.2">
      <c r="F29" s="4">
        <v>18</v>
      </c>
      <c r="G29" s="62">
        <f t="shared" si="0"/>
        <v>100.00000156907524</v>
      </c>
    </row>
    <row r="30" spans="6:7" x14ac:dyDescent="0.2">
      <c r="F30" s="4">
        <v>19</v>
      </c>
      <c r="G30" s="62">
        <f t="shared" si="0"/>
        <v>100.00000054395339</v>
      </c>
    </row>
    <row r="31" spans="6:7" x14ac:dyDescent="0.2">
      <c r="F31" s="4">
        <v>20</v>
      </c>
      <c r="G31" s="62">
        <f t="shared" si="0"/>
        <v>100.00000018857304</v>
      </c>
    </row>
    <row r="32" spans="6:7" x14ac:dyDescent="0.2">
      <c r="F32" s="4">
        <v>21</v>
      </c>
      <c r="G32" s="62">
        <f t="shared" si="0"/>
        <v>100.00000006537286</v>
      </c>
    </row>
    <row r="33" spans="6:7" x14ac:dyDescent="0.2">
      <c r="F33" s="4">
        <v>22</v>
      </c>
      <c r="G33" s="62">
        <f t="shared" si="0"/>
        <v>100.0000000226629</v>
      </c>
    </row>
    <row r="34" spans="6:7" x14ac:dyDescent="0.2">
      <c r="F34" s="4">
        <v>23</v>
      </c>
      <c r="G34" s="62">
        <f t="shared" si="0"/>
        <v>100.00000000785657</v>
      </c>
    </row>
    <row r="35" spans="6:7" x14ac:dyDescent="0.2">
      <c r="F35" s="4">
        <v>24</v>
      </c>
      <c r="G35" s="62">
        <f t="shared" si="0"/>
        <v>100.00000000272365</v>
      </c>
    </row>
    <row r="36" spans="6:7" x14ac:dyDescent="0.2">
      <c r="F36" s="4">
        <v>25</v>
      </c>
      <c r="G36" s="62">
        <f t="shared" si="0"/>
        <v>100.00000000094421</v>
      </c>
    </row>
    <row r="37" spans="6:7" x14ac:dyDescent="0.2">
      <c r="F37" s="4">
        <v>26</v>
      </c>
      <c r="G37" s="62">
        <f t="shared" si="0"/>
        <v>100.00000000032733</v>
      </c>
    </row>
    <row r="38" spans="6:7" x14ac:dyDescent="0.2">
      <c r="F38" s="4">
        <v>27</v>
      </c>
      <c r="G38" s="62">
        <f t="shared" si="0"/>
        <v>100.00000000011347</v>
      </c>
    </row>
    <row r="39" spans="6:7" x14ac:dyDescent="0.2">
      <c r="F39" s="4">
        <v>28</v>
      </c>
      <c r="G39" s="62">
        <f t="shared" si="0"/>
        <v>100.00000000003934</v>
      </c>
    </row>
    <row r="40" spans="6:7" x14ac:dyDescent="0.2">
      <c r="F40" s="4">
        <v>29</v>
      </c>
      <c r="G40" s="62">
        <f t="shared" si="0"/>
        <v>100.00000000001364</v>
      </c>
    </row>
    <row r="41" spans="6:7" x14ac:dyDescent="0.2">
      <c r="F41" s="4">
        <v>30</v>
      </c>
      <c r="G41" s="62">
        <f t="shared" si="0"/>
        <v>100.00000000000473</v>
      </c>
    </row>
    <row r="42" spans="6:7" x14ac:dyDescent="0.2">
      <c r="F42" s="4">
        <v>31</v>
      </c>
      <c r="G42" s="62">
        <f t="shared" si="0"/>
        <v>100.00000000000163</v>
      </c>
    </row>
    <row r="43" spans="6:7" x14ac:dyDescent="0.2">
      <c r="F43" s="4">
        <v>32</v>
      </c>
      <c r="G43" s="62">
        <f t="shared" si="0"/>
        <v>100.00000000000057</v>
      </c>
    </row>
    <row r="44" spans="6:7" x14ac:dyDescent="0.2">
      <c r="F44" s="4">
        <v>33</v>
      </c>
      <c r="G44" s="62">
        <f t="shared" si="0"/>
        <v>100.0000000000002</v>
      </c>
    </row>
    <row r="45" spans="6:7" x14ac:dyDescent="0.2">
      <c r="F45" s="4">
        <v>34</v>
      </c>
      <c r="G45" s="62">
        <f t="shared" si="0"/>
        <v>100.00000000000007</v>
      </c>
    </row>
    <row r="46" spans="6:7" x14ac:dyDescent="0.2">
      <c r="F46" s="4">
        <v>35</v>
      </c>
      <c r="G46" s="62">
        <f t="shared" si="0"/>
        <v>100.00000000000003</v>
      </c>
    </row>
    <row r="47" spans="6:7" x14ac:dyDescent="0.2">
      <c r="F47" s="4">
        <v>36</v>
      </c>
      <c r="G47" s="62">
        <f t="shared" si="0"/>
        <v>100.00000000000001</v>
      </c>
    </row>
    <row r="48" spans="6:7" x14ac:dyDescent="0.2">
      <c r="F48" s="4">
        <v>37</v>
      </c>
      <c r="G48" s="62">
        <f t="shared" si="0"/>
        <v>100</v>
      </c>
    </row>
    <row r="49" spans="6:7" x14ac:dyDescent="0.2">
      <c r="F49" s="4">
        <v>38</v>
      </c>
      <c r="G49" s="62">
        <f t="shared" si="0"/>
        <v>100</v>
      </c>
    </row>
    <row r="50" spans="6:7" x14ac:dyDescent="0.2">
      <c r="F50" s="4">
        <v>39</v>
      </c>
      <c r="G50" s="62">
        <f t="shared" si="0"/>
        <v>100</v>
      </c>
    </row>
    <row r="51" spans="6:7" x14ac:dyDescent="0.2">
      <c r="F51" s="4">
        <v>40</v>
      </c>
      <c r="G51" s="62">
        <f t="shared" si="0"/>
        <v>100</v>
      </c>
    </row>
    <row r="52" spans="6:7" x14ac:dyDescent="0.2">
      <c r="F52" s="4">
        <v>41</v>
      </c>
      <c r="G52" s="62">
        <f t="shared" si="0"/>
        <v>100</v>
      </c>
    </row>
    <row r="53" spans="6:7" x14ac:dyDescent="0.2">
      <c r="F53" s="4">
        <v>42</v>
      </c>
      <c r="G53" s="62">
        <f t="shared" si="0"/>
        <v>100</v>
      </c>
    </row>
    <row r="54" spans="6:7" x14ac:dyDescent="0.2">
      <c r="F54" s="4">
        <v>43</v>
      </c>
      <c r="G54" s="62">
        <f t="shared" si="0"/>
        <v>100</v>
      </c>
    </row>
    <row r="55" spans="6:7" x14ac:dyDescent="0.2">
      <c r="F55" s="4">
        <v>44</v>
      </c>
      <c r="G55" s="62">
        <f t="shared" si="0"/>
        <v>100</v>
      </c>
    </row>
    <row r="56" spans="6:7" x14ac:dyDescent="0.2">
      <c r="F56" s="4">
        <v>45</v>
      </c>
      <c r="G56" s="62">
        <f t="shared" si="0"/>
        <v>100</v>
      </c>
    </row>
    <row r="57" spans="6:7" x14ac:dyDescent="0.2">
      <c r="F57" s="4">
        <v>46</v>
      </c>
      <c r="G57" s="62">
        <f t="shared" si="0"/>
        <v>100</v>
      </c>
    </row>
    <row r="58" spans="6:7" x14ac:dyDescent="0.2">
      <c r="F58" s="4">
        <v>47</v>
      </c>
      <c r="G58" s="62">
        <f t="shared" si="0"/>
        <v>100</v>
      </c>
    </row>
    <row r="59" spans="6:7" x14ac:dyDescent="0.2">
      <c r="F59" s="4">
        <v>48</v>
      </c>
      <c r="G59" s="62">
        <f t="shared" si="0"/>
        <v>100</v>
      </c>
    </row>
    <row r="60" spans="6:7" x14ac:dyDescent="0.2">
      <c r="F60" s="4">
        <v>49</v>
      </c>
      <c r="G60" s="62">
        <f t="shared" si="0"/>
        <v>100</v>
      </c>
    </row>
    <row r="61" spans="6:7" x14ac:dyDescent="0.2">
      <c r="F61" s="4">
        <v>50</v>
      </c>
      <c r="G61" s="62">
        <f t="shared" si="0"/>
        <v>100</v>
      </c>
    </row>
    <row r="62" spans="6:7" x14ac:dyDescent="0.2">
      <c r="F62" s="4">
        <v>51</v>
      </c>
      <c r="G62" s="62">
        <f t="shared" si="0"/>
        <v>100</v>
      </c>
    </row>
    <row r="63" spans="6:7" x14ac:dyDescent="0.2">
      <c r="F63" s="4">
        <v>52</v>
      </c>
      <c r="G63" s="62">
        <f t="shared" si="0"/>
        <v>100</v>
      </c>
    </row>
    <row r="64" spans="6:7" x14ac:dyDescent="0.2">
      <c r="F64" s="4">
        <v>53</v>
      </c>
      <c r="G64" s="62">
        <f t="shared" si="0"/>
        <v>100</v>
      </c>
    </row>
    <row r="65" spans="6:7" x14ac:dyDescent="0.2">
      <c r="F65" s="4">
        <v>54</v>
      </c>
      <c r="G65" s="62">
        <f t="shared" si="0"/>
        <v>100</v>
      </c>
    </row>
    <row r="66" spans="6:7" x14ac:dyDescent="0.2">
      <c r="F66" s="4">
        <v>55</v>
      </c>
      <c r="G66" s="62">
        <f t="shared" si="0"/>
        <v>100</v>
      </c>
    </row>
    <row r="67" spans="6:7" x14ac:dyDescent="0.2">
      <c r="F67" s="4">
        <v>56</v>
      </c>
      <c r="G67" s="62">
        <f t="shared" si="0"/>
        <v>100</v>
      </c>
    </row>
    <row r="68" spans="6:7" x14ac:dyDescent="0.2">
      <c r="F68" s="4">
        <v>57</v>
      </c>
      <c r="G68" s="62">
        <f t="shared" si="0"/>
        <v>100</v>
      </c>
    </row>
    <row r="69" spans="6:7" x14ac:dyDescent="0.2">
      <c r="F69" s="4">
        <v>58</v>
      </c>
      <c r="G69" s="62">
        <f t="shared" si="0"/>
        <v>100</v>
      </c>
    </row>
    <row r="70" spans="6:7" x14ac:dyDescent="0.2">
      <c r="F70" s="4">
        <v>59</v>
      </c>
      <c r="G70" s="62">
        <f t="shared" si="0"/>
        <v>100</v>
      </c>
    </row>
    <row r="71" spans="6:7" x14ac:dyDescent="0.2">
      <c r="F71" s="4">
        <v>60</v>
      </c>
      <c r="G71" s="62">
        <f t="shared" si="0"/>
        <v>100</v>
      </c>
    </row>
    <row r="72" spans="6:7" x14ac:dyDescent="0.2">
      <c r="F72" s="4">
        <v>61</v>
      </c>
      <c r="G72" s="62">
        <f t="shared" si="0"/>
        <v>100</v>
      </c>
    </row>
    <row r="73" spans="6:7" x14ac:dyDescent="0.2">
      <c r="F73" s="4">
        <v>62</v>
      </c>
      <c r="G73" s="62">
        <f t="shared" si="0"/>
        <v>100</v>
      </c>
    </row>
    <row r="74" spans="6:7" x14ac:dyDescent="0.2">
      <c r="F74" s="4">
        <v>63</v>
      </c>
      <c r="G74" s="62">
        <f t="shared" si="0"/>
        <v>100</v>
      </c>
    </row>
    <row r="75" spans="6:7" x14ac:dyDescent="0.2">
      <c r="F75" s="4">
        <v>64</v>
      </c>
      <c r="G75" s="62">
        <f t="shared" si="0"/>
        <v>100</v>
      </c>
    </row>
    <row r="76" spans="6:7" x14ac:dyDescent="0.2">
      <c r="F76" s="4">
        <v>65</v>
      </c>
      <c r="G76" s="62">
        <f t="shared" ref="G76:G139" si="1">$C$13+($C$12-$C$13)* EXP((-F76)/$G$7)</f>
        <v>100</v>
      </c>
    </row>
    <row r="77" spans="6:7" x14ac:dyDescent="0.2">
      <c r="F77" s="4">
        <v>66</v>
      </c>
      <c r="G77" s="62">
        <f t="shared" si="1"/>
        <v>100</v>
      </c>
    </row>
    <row r="78" spans="6:7" x14ac:dyDescent="0.2">
      <c r="F78" s="4">
        <v>67</v>
      </c>
      <c r="G78" s="62">
        <f t="shared" si="1"/>
        <v>100</v>
      </c>
    </row>
    <row r="79" spans="6:7" x14ac:dyDescent="0.2">
      <c r="F79" s="4">
        <v>68</v>
      </c>
      <c r="G79" s="62">
        <f t="shared" si="1"/>
        <v>100</v>
      </c>
    </row>
    <row r="80" spans="6:7" x14ac:dyDescent="0.2">
      <c r="F80" s="4">
        <v>69</v>
      </c>
      <c r="G80" s="62">
        <f t="shared" si="1"/>
        <v>100</v>
      </c>
    </row>
    <row r="81" spans="6:7" x14ac:dyDescent="0.2">
      <c r="F81" s="4">
        <v>70</v>
      </c>
      <c r="G81" s="62">
        <f t="shared" si="1"/>
        <v>100</v>
      </c>
    </row>
    <row r="82" spans="6:7" x14ac:dyDescent="0.2">
      <c r="F82" s="4">
        <v>71</v>
      </c>
      <c r="G82" s="62">
        <f t="shared" si="1"/>
        <v>100</v>
      </c>
    </row>
    <row r="83" spans="6:7" x14ac:dyDescent="0.2">
      <c r="F83" s="4">
        <v>72</v>
      </c>
      <c r="G83" s="62">
        <f t="shared" si="1"/>
        <v>100</v>
      </c>
    </row>
    <row r="84" spans="6:7" x14ac:dyDescent="0.2">
      <c r="F84" s="4">
        <v>73</v>
      </c>
      <c r="G84" s="62">
        <f t="shared" si="1"/>
        <v>100</v>
      </c>
    </row>
    <row r="85" spans="6:7" x14ac:dyDescent="0.2">
      <c r="F85" s="4">
        <v>74</v>
      </c>
      <c r="G85" s="62">
        <f t="shared" si="1"/>
        <v>100</v>
      </c>
    </row>
    <row r="86" spans="6:7" x14ac:dyDescent="0.2">
      <c r="F86" s="4">
        <v>75</v>
      </c>
      <c r="G86" s="62">
        <f t="shared" si="1"/>
        <v>100</v>
      </c>
    </row>
    <row r="87" spans="6:7" x14ac:dyDescent="0.2">
      <c r="F87" s="4">
        <v>76</v>
      </c>
      <c r="G87" s="62">
        <f t="shared" si="1"/>
        <v>100</v>
      </c>
    </row>
    <row r="88" spans="6:7" x14ac:dyDescent="0.2">
      <c r="F88" s="4">
        <v>77</v>
      </c>
      <c r="G88" s="62">
        <f t="shared" si="1"/>
        <v>100</v>
      </c>
    </row>
    <row r="89" spans="6:7" x14ac:dyDescent="0.2">
      <c r="F89" s="4">
        <v>78</v>
      </c>
      <c r="G89" s="62">
        <f t="shared" si="1"/>
        <v>100</v>
      </c>
    </row>
    <row r="90" spans="6:7" x14ac:dyDescent="0.2">
      <c r="F90" s="4">
        <v>79</v>
      </c>
      <c r="G90" s="62">
        <f t="shared" si="1"/>
        <v>100</v>
      </c>
    </row>
    <row r="91" spans="6:7" x14ac:dyDescent="0.2">
      <c r="F91" s="4">
        <v>80</v>
      </c>
      <c r="G91" s="62">
        <f t="shared" si="1"/>
        <v>100</v>
      </c>
    </row>
    <row r="92" spans="6:7" x14ac:dyDescent="0.2">
      <c r="F92" s="4">
        <v>81</v>
      </c>
      <c r="G92" s="62">
        <f t="shared" si="1"/>
        <v>100</v>
      </c>
    </row>
    <row r="93" spans="6:7" x14ac:dyDescent="0.2">
      <c r="F93" s="4">
        <v>82</v>
      </c>
      <c r="G93" s="62">
        <f t="shared" si="1"/>
        <v>100</v>
      </c>
    </row>
    <row r="94" spans="6:7" x14ac:dyDescent="0.2">
      <c r="F94" s="4">
        <v>83</v>
      </c>
      <c r="G94" s="62">
        <f t="shared" si="1"/>
        <v>100</v>
      </c>
    </row>
    <row r="95" spans="6:7" x14ac:dyDescent="0.2">
      <c r="F95" s="4">
        <v>84</v>
      </c>
      <c r="G95" s="62">
        <f t="shared" si="1"/>
        <v>100</v>
      </c>
    </row>
    <row r="96" spans="6:7" x14ac:dyDescent="0.2">
      <c r="F96" s="4">
        <v>85</v>
      </c>
      <c r="G96" s="62">
        <f t="shared" si="1"/>
        <v>100</v>
      </c>
    </row>
    <row r="97" spans="6:7" x14ac:dyDescent="0.2">
      <c r="F97" s="4">
        <v>86</v>
      </c>
      <c r="G97" s="62">
        <f t="shared" si="1"/>
        <v>100</v>
      </c>
    </row>
    <row r="98" spans="6:7" x14ac:dyDescent="0.2">
      <c r="F98" s="4">
        <v>87</v>
      </c>
      <c r="G98" s="62">
        <f t="shared" si="1"/>
        <v>100</v>
      </c>
    </row>
    <row r="99" spans="6:7" x14ac:dyDescent="0.2">
      <c r="F99" s="4">
        <v>88</v>
      </c>
      <c r="G99" s="62">
        <f t="shared" si="1"/>
        <v>100</v>
      </c>
    </row>
    <row r="100" spans="6:7" x14ac:dyDescent="0.2">
      <c r="F100" s="4">
        <v>89</v>
      </c>
      <c r="G100" s="62">
        <f t="shared" si="1"/>
        <v>100</v>
      </c>
    </row>
    <row r="101" spans="6:7" x14ac:dyDescent="0.2">
      <c r="F101" s="4">
        <v>90</v>
      </c>
      <c r="G101" s="62">
        <f t="shared" si="1"/>
        <v>100</v>
      </c>
    </row>
    <row r="102" spans="6:7" x14ac:dyDescent="0.2">
      <c r="F102" s="4">
        <v>91</v>
      </c>
      <c r="G102" s="62">
        <f t="shared" si="1"/>
        <v>100</v>
      </c>
    </row>
    <row r="103" spans="6:7" x14ac:dyDescent="0.2">
      <c r="F103" s="4">
        <v>92</v>
      </c>
      <c r="G103" s="62">
        <f t="shared" si="1"/>
        <v>100</v>
      </c>
    </row>
    <row r="104" spans="6:7" x14ac:dyDescent="0.2">
      <c r="F104" s="4">
        <v>93</v>
      </c>
      <c r="G104" s="62">
        <f t="shared" si="1"/>
        <v>100</v>
      </c>
    </row>
    <row r="105" spans="6:7" x14ac:dyDescent="0.2">
      <c r="F105" s="4">
        <v>94</v>
      </c>
      <c r="G105" s="62">
        <f t="shared" si="1"/>
        <v>100</v>
      </c>
    </row>
    <row r="106" spans="6:7" x14ac:dyDescent="0.2">
      <c r="F106" s="4">
        <v>95</v>
      </c>
      <c r="G106" s="62">
        <f t="shared" si="1"/>
        <v>100</v>
      </c>
    </row>
    <row r="107" spans="6:7" x14ac:dyDescent="0.2">
      <c r="F107" s="4">
        <v>96</v>
      </c>
      <c r="G107" s="62">
        <f t="shared" si="1"/>
        <v>100</v>
      </c>
    </row>
    <row r="108" spans="6:7" x14ac:dyDescent="0.2">
      <c r="F108" s="4">
        <v>97</v>
      </c>
      <c r="G108" s="62">
        <f t="shared" si="1"/>
        <v>100</v>
      </c>
    </row>
    <row r="109" spans="6:7" x14ac:dyDescent="0.2">
      <c r="F109" s="4">
        <v>98</v>
      </c>
      <c r="G109" s="62">
        <f t="shared" si="1"/>
        <v>100</v>
      </c>
    </row>
    <row r="110" spans="6:7" x14ac:dyDescent="0.2">
      <c r="F110" s="4">
        <v>99</v>
      </c>
      <c r="G110" s="62">
        <f t="shared" si="1"/>
        <v>100</v>
      </c>
    </row>
    <row r="111" spans="6:7" x14ac:dyDescent="0.2">
      <c r="F111" s="4">
        <v>100</v>
      </c>
      <c r="G111" s="62">
        <f t="shared" si="1"/>
        <v>100</v>
      </c>
    </row>
    <row r="112" spans="6:7" x14ac:dyDescent="0.2">
      <c r="F112" s="4">
        <v>101</v>
      </c>
      <c r="G112" s="62">
        <f t="shared" si="1"/>
        <v>100</v>
      </c>
    </row>
    <row r="113" spans="6:7" x14ac:dyDescent="0.2">
      <c r="F113" s="4">
        <v>102</v>
      </c>
      <c r="G113" s="62">
        <f t="shared" si="1"/>
        <v>100</v>
      </c>
    </row>
    <row r="114" spans="6:7" x14ac:dyDescent="0.2">
      <c r="F114" s="4">
        <v>103</v>
      </c>
      <c r="G114" s="62">
        <f t="shared" si="1"/>
        <v>100</v>
      </c>
    </row>
    <row r="115" spans="6:7" x14ac:dyDescent="0.2">
      <c r="F115" s="4">
        <v>104</v>
      </c>
      <c r="G115" s="62">
        <f t="shared" si="1"/>
        <v>100</v>
      </c>
    </row>
    <row r="116" spans="6:7" x14ac:dyDescent="0.2">
      <c r="F116" s="4">
        <v>105</v>
      </c>
      <c r="G116" s="62">
        <f t="shared" si="1"/>
        <v>100</v>
      </c>
    </row>
    <row r="117" spans="6:7" x14ac:dyDescent="0.2">
      <c r="F117" s="4">
        <v>106</v>
      </c>
      <c r="G117" s="62">
        <f t="shared" si="1"/>
        <v>100</v>
      </c>
    </row>
    <row r="118" spans="6:7" x14ac:dyDescent="0.2">
      <c r="F118" s="4">
        <v>107</v>
      </c>
      <c r="G118" s="62">
        <f t="shared" si="1"/>
        <v>100</v>
      </c>
    </row>
    <row r="119" spans="6:7" x14ac:dyDescent="0.2">
      <c r="F119" s="4">
        <v>108</v>
      </c>
      <c r="G119" s="62">
        <f t="shared" si="1"/>
        <v>100</v>
      </c>
    </row>
    <row r="120" spans="6:7" x14ac:dyDescent="0.2">
      <c r="F120" s="4">
        <v>109</v>
      </c>
      <c r="G120" s="62">
        <f t="shared" si="1"/>
        <v>100</v>
      </c>
    </row>
    <row r="121" spans="6:7" x14ac:dyDescent="0.2">
      <c r="F121" s="4">
        <v>110</v>
      </c>
      <c r="G121" s="62">
        <f t="shared" si="1"/>
        <v>100</v>
      </c>
    </row>
    <row r="122" spans="6:7" x14ac:dyDescent="0.2">
      <c r="F122" s="4">
        <v>111</v>
      </c>
      <c r="G122" s="62">
        <f t="shared" si="1"/>
        <v>100</v>
      </c>
    </row>
    <row r="123" spans="6:7" x14ac:dyDescent="0.2">
      <c r="F123" s="4">
        <v>112</v>
      </c>
      <c r="G123" s="62">
        <f t="shared" si="1"/>
        <v>100</v>
      </c>
    </row>
    <row r="124" spans="6:7" x14ac:dyDescent="0.2">
      <c r="F124" s="4">
        <v>113</v>
      </c>
      <c r="G124" s="62">
        <f t="shared" si="1"/>
        <v>100</v>
      </c>
    </row>
    <row r="125" spans="6:7" x14ac:dyDescent="0.2">
      <c r="F125" s="4">
        <v>114</v>
      </c>
      <c r="G125" s="62">
        <f t="shared" si="1"/>
        <v>100</v>
      </c>
    </row>
    <row r="126" spans="6:7" x14ac:dyDescent="0.2">
      <c r="F126" s="4">
        <v>115</v>
      </c>
      <c r="G126" s="62">
        <f t="shared" si="1"/>
        <v>100</v>
      </c>
    </row>
    <row r="127" spans="6:7" x14ac:dyDescent="0.2">
      <c r="F127" s="4">
        <v>116</v>
      </c>
      <c r="G127" s="62">
        <f t="shared" si="1"/>
        <v>100</v>
      </c>
    </row>
    <row r="128" spans="6:7" x14ac:dyDescent="0.2">
      <c r="F128" s="4">
        <v>117</v>
      </c>
      <c r="G128" s="62">
        <f t="shared" si="1"/>
        <v>100</v>
      </c>
    </row>
    <row r="129" spans="6:7" x14ac:dyDescent="0.2">
      <c r="F129" s="4">
        <v>118</v>
      </c>
      <c r="G129" s="62">
        <f t="shared" si="1"/>
        <v>100</v>
      </c>
    </row>
    <row r="130" spans="6:7" x14ac:dyDescent="0.2">
      <c r="F130" s="4">
        <v>119</v>
      </c>
      <c r="G130" s="62">
        <f t="shared" si="1"/>
        <v>100</v>
      </c>
    </row>
    <row r="131" spans="6:7" x14ac:dyDescent="0.2">
      <c r="F131" s="4">
        <v>120</v>
      </c>
      <c r="G131" s="62">
        <f t="shared" si="1"/>
        <v>100</v>
      </c>
    </row>
    <row r="132" spans="6:7" x14ac:dyDescent="0.2">
      <c r="F132" s="4">
        <v>121</v>
      </c>
      <c r="G132" s="62">
        <f t="shared" si="1"/>
        <v>100</v>
      </c>
    </row>
    <row r="133" spans="6:7" x14ac:dyDescent="0.2">
      <c r="F133" s="4">
        <v>122</v>
      </c>
      <c r="G133" s="62">
        <f t="shared" si="1"/>
        <v>100</v>
      </c>
    </row>
    <row r="134" spans="6:7" x14ac:dyDescent="0.2">
      <c r="F134" s="4">
        <v>123</v>
      </c>
      <c r="G134" s="62">
        <f t="shared" si="1"/>
        <v>100</v>
      </c>
    </row>
    <row r="135" spans="6:7" x14ac:dyDescent="0.2">
      <c r="F135" s="4">
        <v>124</v>
      </c>
      <c r="G135" s="62">
        <f t="shared" si="1"/>
        <v>100</v>
      </c>
    </row>
    <row r="136" spans="6:7" x14ac:dyDescent="0.2">
      <c r="F136" s="4">
        <v>125</v>
      </c>
      <c r="G136" s="62">
        <f t="shared" si="1"/>
        <v>100</v>
      </c>
    </row>
    <row r="137" spans="6:7" x14ac:dyDescent="0.2">
      <c r="F137" s="4">
        <v>126</v>
      </c>
      <c r="G137" s="62">
        <f t="shared" si="1"/>
        <v>100</v>
      </c>
    </row>
    <row r="138" spans="6:7" x14ac:dyDescent="0.2">
      <c r="F138" s="4">
        <v>127</v>
      </c>
      <c r="G138" s="62">
        <f t="shared" si="1"/>
        <v>100</v>
      </c>
    </row>
    <row r="139" spans="6:7" x14ac:dyDescent="0.2">
      <c r="F139" s="4">
        <v>128</v>
      </c>
      <c r="G139" s="62">
        <f t="shared" si="1"/>
        <v>100</v>
      </c>
    </row>
    <row r="140" spans="6:7" x14ac:dyDescent="0.2">
      <c r="F140" s="4">
        <v>129</v>
      </c>
      <c r="G140" s="62">
        <f t="shared" ref="G140:G203" si="2">$C$13+($C$12-$C$13)* EXP((-F140)/$G$7)</f>
        <v>100</v>
      </c>
    </row>
    <row r="141" spans="6:7" x14ac:dyDescent="0.2">
      <c r="F141" s="4">
        <v>130</v>
      </c>
      <c r="G141" s="62">
        <f t="shared" si="2"/>
        <v>100</v>
      </c>
    </row>
    <row r="142" spans="6:7" x14ac:dyDescent="0.2">
      <c r="F142" s="4">
        <v>131</v>
      </c>
      <c r="G142" s="62">
        <f t="shared" si="2"/>
        <v>100</v>
      </c>
    </row>
    <row r="143" spans="6:7" x14ac:dyDescent="0.2">
      <c r="F143" s="4">
        <v>132</v>
      </c>
      <c r="G143" s="62">
        <f t="shared" si="2"/>
        <v>100</v>
      </c>
    </row>
    <row r="144" spans="6:7" x14ac:dyDescent="0.2">
      <c r="F144" s="4">
        <v>133</v>
      </c>
      <c r="G144" s="62">
        <f t="shared" si="2"/>
        <v>100</v>
      </c>
    </row>
    <row r="145" spans="6:7" x14ac:dyDescent="0.2">
      <c r="F145" s="4">
        <v>134</v>
      </c>
      <c r="G145" s="62">
        <f t="shared" si="2"/>
        <v>100</v>
      </c>
    </row>
    <row r="146" spans="6:7" x14ac:dyDescent="0.2">
      <c r="F146" s="4">
        <v>135</v>
      </c>
      <c r="G146" s="62">
        <f t="shared" si="2"/>
        <v>100</v>
      </c>
    </row>
    <row r="147" spans="6:7" x14ac:dyDescent="0.2">
      <c r="F147" s="4">
        <v>136</v>
      </c>
      <c r="G147" s="62">
        <f t="shared" si="2"/>
        <v>100</v>
      </c>
    </row>
    <row r="148" spans="6:7" x14ac:dyDescent="0.2">
      <c r="F148" s="4">
        <v>137</v>
      </c>
      <c r="G148" s="62">
        <f t="shared" si="2"/>
        <v>100</v>
      </c>
    </row>
    <row r="149" spans="6:7" x14ac:dyDescent="0.2">
      <c r="F149" s="4">
        <v>138</v>
      </c>
      <c r="G149" s="62">
        <f t="shared" si="2"/>
        <v>100</v>
      </c>
    </row>
    <row r="150" spans="6:7" x14ac:dyDescent="0.2">
      <c r="F150" s="4">
        <v>139</v>
      </c>
      <c r="G150" s="62">
        <f t="shared" si="2"/>
        <v>100</v>
      </c>
    </row>
    <row r="151" spans="6:7" x14ac:dyDescent="0.2">
      <c r="F151" s="4">
        <v>140</v>
      </c>
      <c r="G151" s="62">
        <f t="shared" si="2"/>
        <v>100</v>
      </c>
    </row>
    <row r="152" spans="6:7" x14ac:dyDescent="0.2">
      <c r="F152" s="4">
        <v>141</v>
      </c>
      <c r="G152" s="62">
        <f t="shared" si="2"/>
        <v>100</v>
      </c>
    </row>
    <row r="153" spans="6:7" x14ac:dyDescent="0.2">
      <c r="F153" s="4">
        <v>142</v>
      </c>
      <c r="G153" s="62">
        <f t="shared" si="2"/>
        <v>100</v>
      </c>
    </row>
    <row r="154" spans="6:7" x14ac:dyDescent="0.2">
      <c r="F154" s="4">
        <v>143</v>
      </c>
      <c r="G154" s="62">
        <f t="shared" si="2"/>
        <v>100</v>
      </c>
    </row>
    <row r="155" spans="6:7" x14ac:dyDescent="0.2">
      <c r="F155" s="4">
        <v>144</v>
      </c>
      <c r="G155" s="62">
        <f t="shared" si="2"/>
        <v>100</v>
      </c>
    </row>
    <row r="156" spans="6:7" x14ac:dyDescent="0.2">
      <c r="F156" s="4">
        <v>145</v>
      </c>
      <c r="G156" s="62">
        <f t="shared" si="2"/>
        <v>100</v>
      </c>
    </row>
    <row r="157" spans="6:7" x14ac:dyDescent="0.2">
      <c r="F157" s="4">
        <v>146</v>
      </c>
      <c r="G157" s="62">
        <f t="shared" si="2"/>
        <v>100</v>
      </c>
    </row>
    <row r="158" spans="6:7" x14ac:dyDescent="0.2">
      <c r="F158" s="4">
        <v>147</v>
      </c>
      <c r="G158" s="62">
        <f t="shared" si="2"/>
        <v>100</v>
      </c>
    </row>
    <row r="159" spans="6:7" x14ac:dyDescent="0.2">
      <c r="F159" s="4">
        <v>148</v>
      </c>
      <c r="G159" s="62">
        <f t="shared" si="2"/>
        <v>100</v>
      </c>
    </row>
    <row r="160" spans="6:7" x14ac:dyDescent="0.2">
      <c r="F160" s="4">
        <v>149</v>
      </c>
      <c r="G160" s="62">
        <f t="shared" si="2"/>
        <v>100</v>
      </c>
    </row>
    <row r="161" spans="6:7" x14ac:dyDescent="0.2">
      <c r="F161" s="4">
        <v>150</v>
      </c>
      <c r="G161" s="62">
        <f t="shared" si="2"/>
        <v>100</v>
      </c>
    </row>
    <row r="162" spans="6:7" x14ac:dyDescent="0.2">
      <c r="F162" s="4">
        <v>151</v>
      </c>
      <c r="G162" s="62">
        <f t="shared" si="2"/>
        <v>100</v>
      </c>
    </row>
    <row r="163" spans="6:7" x14ac:dyDescent="0.2">
      <c r="F163" s="4">
        <v>152</v>
      </c>
      <c r="G163" s="62">
        <f t="shared" si="2"/>
        <v>100</v>
      </c>
    </row>
    <row r="164" spans="6:7" x14ac:dyDescent="0.2">
      <c r="F164" s="4">
        <v>153</v>
      </c>
      <c r="G164" s="62">
        <f t="shared" si="2"/>
        <v>100</v>
      </c>
    </row>
    <row r="165" spans="6:7" x14ac:dyDescent="0.2">
      <c r="F165" s="4">
        <v>154</v>
      </c>
      <c r="G165" s="62">
        <f t="shared" si="2"/>
        <v>100</v>
      </c>
    </row>
    <row r="166" spans="6:7" x14ac:dyDescent="0.2">
      <c r="F166" s="4">
        <v>155</v>
      </c>
      <c r="G166" s="62">
        <f t="shared" si="2"/>
        <v>100</v>
      </c>
    </row>
    <row r="167" spans="6:7" x14ac:dyDescent="0.2">
      <c r="F167" s="4">
        <v>156</v>
      </c>
      <c r="G167" s="62">
        <f t="shared" si="2"/>
        <v>100</v>
      </c>
    </row>
    <row r="168" spans="6:7" x14ac:dyDescent="0.2">
      <c r="F168" s="4">
        <v>157</v>
      </c>
      <c r="G168" s="62">
        <f t="shared" si="2"/>
        <v>100</v>
      </c>
    </row>
    <row r="169" spans="6:7" x14ac:dyDescent="0.2">
      <c r="F169" s="4">
        <v>158</v>
      </c>
      <c r="G169" s="62">
        <f t="shared" si="2"/>
        <v>100</v>
      </c>
    </row>
    <row r="170" spans="6:7" x14ac:dyDescent="0.2">
      <c r="F170" s="4">
        <v>159</v>
      </c>
      <c r="G170" s="62">
        <f t="shared" si="2"/>
        <v>100</v>
      </c>
    </row>
    <row r="171" spans="6:7" x14ac:dyDescent="0.2">
      <c r="F171" s="4">
        <v>160</v>
      </c>
      <c r="G171" s="62">
        <f t="shared" si="2"/>
        <v>100</v>
      </c>
    </row>
    <row r="172" spans="6:7" x14ac:dyDescent="0.2">
      <c r="F172" s="4">
        <v>161</v>
      </c>
      <c r="G172" s="62">
        <f t="shared" si="2"/>
        <v>100</v>
      </c>
    </row>
    <row r="173" spans="6:7" x14ac:dyDescent="0.2">
      <c r="F173" s="4">
        <v>162</v>
      </c>
      <c r="G173" s="62">
        <f t="shared" si="2"/>
        <v>100</v>
      </c>
    </row>
    <row r="174" spans="6:7" x14ac:dyDescent="0.2">
      <c r="F174" s="4">
        <v>163</v>
      </c>
      <c r="G174" s="62">
        <f t="shared" si="2"/>
        <v>100</v>
      </c>
    </row>
    <row r="175" spans="6:7" x14ac:dyDescent="0.2">
      <c r="F175" s="4">
        <v>164</v>
      </c>
      <c r="G175" s="62">
        <f t="shared" si="2"/>
        <v>100</v>
      </c>
    </row>
    <row r="176" spans="6:7" x14ac:dyDescent="0.2">
      <c r="F176" s="4">
        <v>165</v>
      </c>
      <c r="G176" s="62">
        <f t="shared" si="2"/>
        <v>100</v>
      </c>
    </row>
    <row r="177" spans="6:7" x14ac:dyDescent="0.2">
      <c r="F177" s="4">
        <v>166</v>
      </c>
      <c r="G177" s="62">
        <f t="shared" si="2"/>
        <v>100</v>
      </c>
    </row>
    <row r="178" spans="6:7" x14ac:dyDescent="0.2">
      <c r="F178" s="4">
        <v>167</v>
      </c>
      <c r="G178" s="62">
        <f t="shared" si="2"/>
        <v>100</v>
      </c>
    </row>
    <row r="179" spans="6:7" x14ac:dyDescent="0.2">
      <c r="F179" s="4">
        <v>168</v>
      </c>
      <c r="G179" s="62">
        <f t="shared" si="2"/>
        <v>100</v>
      </c>
    </row>
    <row r="180" spans="6:7" x14ac:dyDescent="0.2">
      <c r="F180" s="4">
        <v>169</v>
      </c>
      <c r="G180" s="62">
        <f t="shared" si="2"/>
        <v>100</v>
      </c>
    </row>
    <row r="181" spans="6:7" x14ac:dyDescent="0.2">
      <c r="F181" s="4">
        <v>170</v>
      </c>
      <c r="G181" s="62">
        <f t="shared" si="2"/>
        <v>100</v>
      </c>
    </row>
    <row r="182" spans="6:7" x14ac:dyDescent="0.2">
      <c r="F182" s="4">
        <v>171</v>
      </c>
      <c r="G182" s="62">
        <f t="shared" si="2"/>
        <v>100</v>
      </c>
    </row>
    <row r="183" spans="6:7" x14ac:dyDescent="0.2">
      <c r="F183" s="4">
        <v>172</v>
      </c>
      <c r="G183" s="62">
        <f t="shared" si="2"/>
        <v>100</v>
      </c>
    </row>
    <row r="184" spans="6:7" x14ac:dyDescent="0.2">
      <c r="F184" s="4">
        <v>173</v>
      </c>
      <c r="G184" s="62">
        <f t="shared" si="2"/>
        <v>100</v>
      </c>
    </row>
    <row r="185" spans="6:7" x14ac:dyDescent="0.2">
      <c r="F185" s="4">
        <v>174</v>
      </c>
      <c r="G185" s="62">
        <f t="shared" si="2"/>
        <v>100</v>
      </c>
    </row>
    <row r="186" spans="6:7" x14ac:dyDescent="0.2">
      <c r="F186" s="4">
        <v>175</v>
      </c>
      <c r="G186" s="62">
        <f t="shared" si="2"/>
        <v>100</v>
      </c>
    </row>
    <row r="187" spans="6:7" x14ac:dyDescent="0.2">
      <c r="F187" s="4">
        <v>176</v>
      </c>
      <c r="G187" s="62">
        <f t="shared" si="2"/>
        <v>100</v>
      </c>
    </row>
    <row r="188" spans="6:7" x14ac:dyDescent="0.2">
      <c r="F188" s="4">
        <v>177</v>
      </c>
      <c r="G188" s="62">
        <f t="shared" si="2"/>
        <v>100</v>
      </c>
    </row>
    <row r="189" spans="6:7" x14ac:dyDescent="0.2">
      <c r="F189" s="4">
        <v>178</v>
      </c>
      <c r="G189" s="62">
        <f t="shared" si="2"/>
        <v>100</v>
      </c>
    </row>
    <row r="190" spans="6:7" x14ac:dyDescent="0.2">
      <c r="F190" s="4">
        <v>179</v>
      </c>
      <c r="G190" s="62">
        <f t="shared" si="2"/>
        <v>100</v>
      </c>
    </row>
    <row r="191" spans="6:7" x14ac:dyDescent="0.2">
      <c r="F191" s="4">
        <v>180</v>
      </c>
      <c r="G191" s="62">
        <f t="shared" si="2"/>
        <v>100</v>
      </c>
    </row>
    <row r="192" spans="6:7" x14ac:dyDescent="0.2">
      <c r="F192" s="4">
        <v>181</v>
      </c>
      <c r="G192" s="62">
        <f t="shared" si="2"/>
        <v>100</v>
      </c>
    </row>
    <row r="193" spans="6:7" x14ac:dyDescent="0.2">
      <c r="F193" s="4">
        <v>182</v>
      </c>
      <c r="G193" s="62">
        <f t="shared" si="2"/>
        <v>100</v>
      </c>
    </row>
    <row r="194" spans="6:7" x14ac:dyDescent="0.2">
      <c r="F194" s="4">
        <v>183</v>
      </c>
      <c r="G194" s="62">
        <f t="shared" si="2"/>
        <v>100</v>
      </c>
    </row>
    <row r="195" spans="6:7" x14ac:dyDescent="0.2">
      <c r="F195" s="4">
        <v>184</v>
      </c>
      <c r="G195" s="62">
        <f t="shared" si="2"/>
        <v>100</v>
      </c>
    </row>
    <row r="196" spans="6:7" x14ac:dyDescent="0.2">
      <c r="F196" s="4">
        <v>185</v>
      </c>
      <c r="G196" s="62">
        <f t="shared" si="2"/>
        <v>100</v>
      </c>
    </row>
    <row r="197" spans="6:7" x14ac:dyDescent="0.2">
      <c r="F197" s="4">
        <v>186</v>
      </c>
      <c r="G197" s="62">
        <f t="shared" si="2"/>
        <v>100</v>
      </c>
    </row>
    <row r="198" spans="6:7" x14ac:dyDescent="0.2">
      <c r="F198" s="4">
        <v>187</v>
      </c>
      <c r="G198" s="62">
        <f t="shared" si="2"/>
        <v>100</v>
      </c>
    </row>
    <row r="199" spans="6:7" x14ac:dyDescent="0.2">
      <c r="F199" s="4">
        <v>188</v>
      </c>
      <c r="G199" s="62">
        <f t="shared" si="2"/>
        <v>100</v>
      </c>
    </row>
    <row r="200" spans="6:7" x14ac:dyDescent="0.2">
      <c r="F200" s="4">
        <v>189</v>
      </c>
      <c r="G200" s="62">
        <f t="shared" si="2"/>
        <v>100</v>
      </c>
    </row>
    <row r="201" spans="6:7" x14ac:dyDescent="0.2">
      <c r="F201" s="4">
        <v>190</v>
      </c>
      <c r="G201" s="62">
        <f t="shared" si="2"/>
        <v>100</v>
      </c>
    </row>
    <row r="202" spans="6:7" x14ac:dyDescent="0.2">
      <c r="F202" s="4">
        <v>191</v>
      </c>
      <c r="G202" s="62">
        <f t="shared" si="2"/>
        <v>100</v>
      </c>
    </row>
    <row r="203" spans="6:7" x14ac:dyDescent="0.2">
      <c r="F203" s="4">
        <v>192</v>
      </c>
      <c r="G203" s="62">
        <f t="shared" si="2"/>
        <v>100</v>
      </c>
    </row>
    <row r="204" spans="6:7" x14ac:dyDescent="0.2">
      <c r="F204" s="4">
        <v>193</v>
      </c>
      <c r="G204" s="62">
        <f t="shared" ref="G204:G267" si="3">$C$13+($C$12-$C$13)* EXP((-F204)/$G$7)</f>
        <v>100</v>
      </c>
    </row>
    <row r="205" spans="6:7" x14ac:dyDescent="0.2">
      <c r="F205" s="4">
        <v>194</v>
      </c>
      <c r="G205" s="62">
        <f t="shared" si="3"/>
        <v>100</v>
      </c>
    </row>
    <row r="206" spans="6:7" x14ac:dyDescent="0.2">
      <c r="F206" s="4">
        <v>195</v>
      </c>
      <c r="G206" s="62">
        <f t="shared" si="3"/>
        <v>100</v>
      </c>
    </row>
    <row r="207" spans="6:7" x14ac:dyDescent="0.2">
      <c r="F207" s="4">
        <v>196</v>
      </c>
      <c r="G207" s="62">
        <f t="shared" si="3"/>
        <v>100</v>
      </c>
    </row>
    <row r="208" spans="6:7" x14ac:dyDescent="0.2">
      <c r="F208" s="4">
        <v>197</v>
      </c>
      <c r="G208" s="62">
        <f t="shared" si="3"/>
        <v>100</v>
      </c>
    </row>
    <row r="209" spans="6:7" x14ac:dyDescent="0.2">
      <c r="F209" s="4">
        <v>198</v>
      </c>
      <c r="G209" s="62">
        <f t="shared" si="3"/>
        <v>100</v>
      </c>
    </row>
    <row r="210" spans="6:7" x14ac:dyDescent="0.2">
      <c r="F210" s="4">
        <v>199</v>
      </c>
      <c r="G210" s="62">
        <f t="shared" si="3"/>
        <v>100</v>
      </c>
    </row>
    <row r="211" spans="6:7" x14ac:dyDescent="0.2">
      <c r="F211" s="4">
        <v>200</v>
      </c>
      <c r="G211" s="62">
        <f t="shared" si="3"/>
        <v>100</v>
      </c>
    </row>
    <row r="212" spans="6:7" x14ac:dyDescent="0.2">
      <c r="F212" s="4">
        <v>201</v>
      </c>
      <c r="G212" s="62">
        <f t="shared" si="3"/>
        <v>100</v>
      </c>
    </row>
    <row r="213" spans="6:7" x14ac:dyDescent="0.2">
      <c r="F213" s="4">
        <v>202</v>
      </c>
      <c r="G213" s="62">
        <f t="shared" si="3"/>
        <v>100</v>
      </c>
    </row>
    <row r="214" spans="6:7" x14ac:dyDescent="0.2">
      <c r="F214" s="4">
        <v>203</v>
      </c>
      <c r="G214" s="62">
        <f t="shared" si="3"/>
        <v>100</v>
      </c>
    </row>
    <row r="215" spans="6:7" x14ac:dyDescent="0.2">
      <c r="F215" s="4">
        <v>204</v>
      </c>
      <c r="G215" s="62">
        <f t="shared" si="3"/>
        <v>100</v>
      </c>
    </row>
    <row r="216" spans="6:7" x14ac:dyDescent="0.2">
      <c r="F216" s="4">
        <v>205</v>
      </c>
      <c r="G216" s="62">
        <f t="shared" si="3"/>
        <v>100</v>
      </c>
    </row>
    <row r="217" spans="6:7" x14ac:dyDescent="0.2">
      <c r="F217" s="4">
        <v>206</v>
      </c>
      <c r="G217" s="62">
        <f t="shared" si="3"/>
        <v>100</v>
      </c>
    </row>
    <row r="218" spans="6:7" x14ac:dyDescent="0.2">
      <c r="F218" s="4">
        <v>207</v>
      </c>
      <c r="G218" s="62">
        <f t="shared" si="3"/>
        <v>100</v>
      </c>
    </row>
    <row r="219" spans="6:7" x14ac:dyDescent="0.2">
      <c r="F219" s="4">
        <v>208</v>
      </c>
      <c r="G219" s="62">
        <f t="shared" si="3"/>
        <v>100</v>
      </c>
    </row>
    <row r="220" spans="6:7" x14ac:dyDescent="0.2">
      <c r="F220" s="4">
        <v>209</v>
      </c>
      <c r="G220" s="62">
        <f t="shared" si="3"/>
        <v>100</v>
      </c>
    </row>
    <row r="221" spans="6:7" x14ac:dyDescent="0.2">
      <c r="F221" s="4">
        <v>210</v>
      </c>
      <c r="G221" s="62">
        <f t="shared" si="3"/>
        <v>100</v>
      </c>
    </row>
    <row r="222" spans="6:7" x14ac:dyDescent="0.2">
      <c r="F222" s="4">
        <v>211</v>
      </c>
      <c r="G222" s="62">
        <f t="shared" si="3"/>
        <v>100</v>
      </c>
    </row>
    <row r="223" spans="6:7" x14ac:dyDescent="0.2">
      <c r="F223" s="4">
        <v>212</v>
      </c>
      <c r="G223" s="62">
        <f t="shared" si="3"/>
        <v>100</v>
      </c>
    </row>
    <row r="224" spans="6:7" x14ac:dyDescent="0.2">
      <c r="F224" s="4">
        <v>213</v>
      </c>
      <c r="G224" s="62">
        <f t="shared" si="3"/>
        <v>100</v>
      </c>
    </row>
    <row r="225" spans="6:7" x14ac:dyDescent="0.2">
      <c r="F225" s="4">
        <v>214</v>
      </c>
      <c r="G225" s="62">
        <f t="shared" si="3"/>
        <v>100</v>
      </c>
    </row>
    <row r="226" spans="6:7" x14ac:dyDescent="0.2">
      <c r="F226" s="4">
        <v>215</v>
      </c>
      <c r="G226" s="62">
        <f t="shared" si="3"/>
        <v>100</v>
      </c>
    </row>
    <row r="227" spans="6:7" x14ac:dyDescent="0.2">
      <c r="F227" s="4">
        <v>216</v>
      </c>
      <c r="G227" s="62">
        <f t="shared" si="3"/>
        <v>100</v>
      </c>
    </row>
    <row r="228" spans="6:7" x14ac:dyDescent="0.2">
      <c r="F228" s="4">
        <v>217</v>
      </c>
      <c r="G228" s="62">
        <f t="shared" si="3"/>
        <v>100</v>
      </c>
    </row>
    <row r="229" spans="6:7" x14ac:dyDescent="0.2">
      <c r="F229" s="4">
        <v>218</v>
      </c>
      <c r="G229" s="62">
        <f t="shared" si="3"/>
        <v>100</v>
      </c>
    </row>
    <row r="230" spans="6:7" x14ac:dyDescent="0.2">
      <c r="F230" s="4">
        <v>219</v>
      </c>
      <c r="G230" s="62">
        <f t="shared" si="3"/>
        <v>100</v>
      </c>
    </row>
    <row r="231" spans="6:7" x14ac:dyDescent="0.2">
      <c r="F231" s="4">
        <v>220</v>
      </c>
      <c r="G231" s="62">
        <f t="shared" si="3"/>
        <v>100</v>
      </c>
    </row>
    <row r="232" spans="6:7" x14ac:dyDescent="0.2">
      <c r="F232" s="4">
        <v>221</v>
      </c>
      <c r="G232" s="62">
        <f t="shared" si="3"/>
        <v>100</v>
      </c>
    </row>
    <row r="233" spans="6:7" x14ac:dyDescent="0.2">
      <c r="F233" s="4">
        <v>222</v>
      </c>
      <c r="G233" s="62">
        <f t="shared" si="3"/>
        <v>100</v>
      </c>
    </row>
    <row r="234" spans="6:7" x14ac:dyDescent="0.2">
      <c r="F234" s="4">
        <v>223</v>
      </c>
      <c r="G234" s="62">
        <f t="shared" si="3"/>
        <v>100</v>
      </c>
    </row>
    <row r="235" spans="6:7" x14ac:dyDescent="0.2">
      <c r="F235" s="4">
        <v>224</v>
      </c>
      <c r="G235" s="62">
        <f t="shared" si="3"/>
        <v>100</v>
      </c>
    </row>
    <row r="236" spans="6:7" x14ac:dyDescent="0.2">
      <c r="F236" s="4">
        <v>225</v>
      </c>
      <c r="G236" s="62">
        <f t="shared" si="3"/>
        <v>100</v>
      </c>
    </row>
    <row r="237" spans="6:7" x14ac:dyDescent="0.2">
      <c r="F237" s="4">
        <v>226</v>
      </c>
      <c r="G237" s="62">
        <f t="shared" si="3"/>
        <v>100</v>
      </c>
    </row>
    <row r="238" spans="6:7" x14ac:dyDescent="0.2">
      <c r="F238" s="4">
        <v>227</v>
      </c>
      <c r="G238" s="62">
        <f t="shared" si="3"/>
        <v>100</v>
      </c>
    </row>
    <row r="239" spans="6:7" x14ac:dyDescent="0.2">
      <c r="F239" s="4">
        <v>228</v>
      </c>
      <c r="G239" s="62">
        <f t="shared" si="3"/>
        <v>100</v>
      </c>
    </row>
    <row r="240" spans="6:7" x14ac:dyDescent="0.2">
      <c r="F240" s="4">
        <v>229</v>
      </c>
      <c r="G240" s="62">
        <f t="shared" si="3"/>
        <v>100</v>
      </c>
    </row>
    <row r="241" spans="6:7" x14ac:dyDescent="0.2">
      <c r="F241" s="4">
        <v>230</v>
      </c>
      <c r="G241" s="62">
        <f t="shared" si="3"/>
        <v>100</v>
      </c>
    </row>
    <row r="242" spans="6:7" x14ac:dyDescent="0.2">
      <c r="F242" s="4">
        <v>231</v>
      </c>
      <c r="G242" s="62">
        <f t="shared" si="3"/>
        <v>100</v>
      </c>
    </row>
    <row r="243" spans="6:7" x14ac:dyDescent="0.2">
      <c r="F243" s="4">
        <v>232</v>
      </c>
      <c r="G243" s="62">
        <f t="shared" si="3"/>
        <v>100</v>
      </c>
    </row>
    <row r="244" spans="6:7" x14ac:dyDescent="0.2">
      <c r="F244" s="4">
        <v>233</v>
      </c>
      <c r="G244" s="62">
        <f t="shared" si="3"/>
        <v>100</v>
      </c>
    </row>
    <row r="245" spans="6:7" x14ac:dyDescent="0.2">
      <c r="F245" s="4">
        <v>234</v>
      </c>
      <c r="G245" s="62">
        <f t="shared" si="3"/>
        <v>100</v>
      </c>
    </row>
    <row r="246" spans="6:7" x14ac:dyDescent="0.2">
      <c r="F246" s="4">
        <v>235</v>
      </c>
      <c r="G246" s="62">
        <f t="shared" si="3"/>
        <v>100</v>
      </c>
    </row>
    <row r="247" spans="6:7" x14ac:dyDescent="0.2">
      <c r="F247" s="4">
        <v>236</v>
      </c>
      <c r="G247" s="62">
        <f t="shared" si="3"/>
        <v>100</v>
      </c>
    </row>
    <row r="248" spans="6:7" x14ac:dyDescent="0.2">
      <c r="F248" s="4">
        <v>237</v>
      </c>
      <c r="G248" s="62">
        <f t="shared" si="3"/>
        <v>100</v>
      </c>
    </row>
    <row r="249" spans="6:7" x14ac:dyDescent="0.2">
      <c r="F249" s="4">
        <v>238</v>
      </c>
      <c r="G249" s="62">
        <f t="shared" si="3"/>
        <v>100</v>
      </c>
    </row>
    <row r="250" spans="6:7" x14ac:dyDescent="0.2">
      <c r="F250" s="4">
        <v>239</v>
      </c>
      <c r="G250" s="62">
        <f t="shared" si="3"/>
        <v>100</v>
      </c>
    </row>
    <row r="251" spans="6:7" x14ac:dyDescent="0.2">
      <c r="F251" s="4">
        <v>240</v>
      </c>
      <c r="G251" s="62">
        <f t="shared" si="3"/>
        <v>100</v>
      </c>
    </row>
    <row r="252" spans="6:7" x14ac:dyDescent="0.2">
      <c r="F252" s="4">
        <v>241</v>
      </c>
      <c r="G252" s="62">
        <f t="shared" si="3"/>
        <v>100</v>
      </c>
    </row>
    <row r="253" spans="6:7" x14ac:dyDescent="0.2">
      <c r="F253" s="4">
        <v>242</v>
      </c>
      <c r="G253" s="62">
        <f t="shared" si="3"/>
        <v>100</v>
      </c>
    </row>
    <row r="254" spans="6:7" x14ac:dyDescent="0.2">
      <c r="F254" s="4">
        <v>243</v>
      </c>
      <c r="G254" s="62">
        <f t="shared" si="3"/>
        <v>100</v>
      </c>
    </row>
    <row r="255" spans="6:7" x14ac:dyDescent="0.2">
      <c r="F255" s="4">
        <v>244</v>
      </c>
      <c r="G255" s="62">
        <f t="shared" si="3"/>
        <v>100</v>
      </c>
    </row>
    <row r="256" spans="6:7" x14ac:dyDescent="0.2">
      <c r="F256" s="4">
        <v>245</v>
      </c>
      <c r="G256" s="62">
        <f t="shared" si="3"/>
        <v>100</v>
      </c>
    </row>
    <row r="257" spans="6:7" x14ac:dyDescent="0.2">
      <c r="F257" s="4">
        <v>246</v>
      </c>
      <c r="G257" s="62">
        <f t="shared" si="3"/>
        <v>100</v>
      </c>
    </row>
    <row r="258" spans="6:7" x14ac:dyDescent="0.2">
      <c r="F258" s="4">
        <v>247</v>
      </c>
      <c r="G258" s="62">
        <f t="shared" si="3"/>
        <v>100</v>
      </c>
    </row>
    <row r="259" spans="6:7" x14ac:dyDescent="0.2">
      <c r="F259" s="4">
        <v>248</v>
      </c>
      <c r="G259" s="62">
        <f t="shared" si="3"/>
        <v>100</v>
      </c>
    </row>
    <row r="260" spans="6:7" x14ac:dyDescent="0.2">
      <c r="F260" s="4">
        <v>249</v>
      </c>
      <c r="G260" s="62">
        <f t="shared" si="3"/>
        <v>100</v>
      </c>
    </row>
    <row r="261" spans="6:7" x14ac:dyDescent="0.2">
      <c r="F261" s="4">
        <v>250</v>
      </c>
      <c r="G261" s="62">
        <f t="shared" si="3"/>
        <v>100</v>
      </c>
    </row>
    <row r="262" spans="6:7" x14ac:dyDescent="0.2">
      <c r="F262" s="4">
        <v>251</v>
      </c>
      <c r="G262" s="62">
        <f t="shared" si="3"/>
        <v>100</v>
      </c>
    </row>
    <row r="263" spans="6:7" x14ac:dyDescent="0.2">
      <c r="F263" s="4">
        <v>252</v>
      </c>
      <c r="G263" s="62">
        <f t="shared" si="3"/>
        <v>100</v>
      </c>
    </row>
    <row r="264" spans="6:7" x14ac:dyDescent="0.2">
      <c r="F264" s="4">
        <v>253</v>
      </c>
      <c r="G264" s="62">
        <f t="shared" si="3"/>
        <v>100</v>
      </c>
    </row>
    <row r="265" spans="6:7" x14ac:dyDescent="0.2">
      <c r="F265" s="4">
        <v>254</v>
      </c>
      <c r="G265" s="62">
        <f t="shared" si="3"/>
        <v>100</v>
      </c>
    </row>
    <row r="266" spans="6:7" x14ac:dyDescent="0.2">
      <c r="F266" s="4">
        <v>255</v>
      </c>
      <c r="G266" s="62">
        <f t="shared" si="3"/>
        <v>100</v>
      </c>
    </row>
    <row r="267" spans="6:7" x14ac:dyDescent="0.2">
      <c r="F267" s="4">
        <v>256</v>
      </c>
      <c r="G267" s="62">
        <f t="shared" si="3"/>
        <v>100</v>
      </c>
    </row>
    <row r="268" spans="6:7" x14ac:dyDescent="0.2">
      <c r="F268" s="4">
        <v>257</v>
      </c>
      <c r="G268" s="62">
        <f t="shared" ref="G268:G331" si="4">$C$13+($C$12-$C$13)* EXP((-F268)/$G$7)</f>
        <v>100</v>
      </c>
    </row>
    <row r="269" spans="6:7" x14ac:dyDescent="0.2">
      <c r="F269" s="4">
        <v>258</v>
      </c>
      <c r="G269" s="62">
        <f t="shared" si="4"/>
        <v>100</v>
      </c>
    </row>
    <row r="270" spans="6:7" x14ac:dyDescent="0.2">
      <c r="F270" s="4">
        <v>259</v>
      </c>
      <c r="G270" s="62">
        <f t="shared" si="4"/>
        <v>100</v>
      </c>
    </row>
    <row r="271" spans="6:7" x14ac:dyDescent="0.2">
      <c r="F271" s="4">
        <v>260</v>
      </c>
      <c r="G271" s="62">
        <f t="shared" si="4"/>
        <v>100</v>
      </c>
    </row>
    <row r="272" spans="6:7" x14ac:dyDescent="0.2">
      <c r="F272" s="4">
        <v>261</v>
      </c>
      <c r="G272" s="62">
        <f t="shared" si="4"/>
        <v>100</v>
      </c>
    </row>
    <row r="273" spans="6:7" x14ac:dyDescent="0.2">
      <c r="F273" s="4">
        <v>262</v>
      </c>
      <c r="G273" s="62">
        <f t="shared" si="4"/>
        <v>100</v>
      </c>
    </row>
    <row r="274" spans="6:7" x14ac:dyDescent="0.2">
      <c r="F274" s="4">
        <v>263</v>
      </c>
      <c r="G274" s="62">
        <f t="shared" si="4"/>
        <v>100</v>
      </c>
    </row>
    <row r="275" spans="6:7" x14ac:dyDescent="0.2">
      <c r="F275" s="4">
        <v>264</v>
      </c>
      <c r="G275" s="62">
        <f t="shared" si="4"/>
        <v>100</v>
      </c>
    </row>
    <row r="276" spans="6:7" x14ac:dyDescent="0.2">
      <c r="F276" s="4">
        <v>265</v>
      </c>
      <c r="G276" s="62">
        <f t="shared" si="4"/>
        <v>100</v>
      </c>
    </row>
    <row r="277" spans="6:7" x14ac:dyDescent="0.2">
      <c r="F277" s="4">
        <v>266</v>
      </c>
      <c r="G277" s="62">
        <f t="shared" si="4"/>
        <v>100</v>
      </c>
    </row>
    <row r="278" spans="6:7" x14ac:dyDescent="0.2">
      <c r="F278" s="4">
        <v>267</v>
      </c>
      <c r="G278" s="62">
        <f t="shared" si="4"/>
        <v>100</v>
      </c>
    </row>
    <row r="279" spans="6:7" x14ac:dyDescent="0.2">
      <c r="F279" s="4">
        <v>268</v>
      </c>
      <c r="G279" s="62">
        <f t="shared" si="4"/>
        <v>100</v>
      </c>
    </row>
    <row r="280" spans="6:7" x14ac:dyDescent="0.2">
      <c r="F280" s="4">
        <v>269</v>
      </c>
      <c r="G280" s="62">
        <f t="shared" si="4"/>
        <v>100</v>
      </c>
    </row>
    <row r="281" spans="6:7" x14ac:dyDescent="0.2">
      <c r="F281" s="4">
        <v>270</v>
      </c>
      <c r="G281" s="62">
        <f t="shared" si="4"/>
        <v>100</v>
      </c>
    </row>
    <row r="282" spans="6:7" x14ac:dyDescent="0.2">
      <c r="F282" s="4">
        <v>271</v>
      </c>
      <c r="G282" s="62">
        <f t="shared" si="4"/>
        <v>100</v>
      </c>
    </row>
    <row r="283" spans="6:7" x14ac:dyDescent="0.2">
      <c r="F283" s="4">
        <v>272</v>
      </c>
      <c r="G283" s="62">
        <f t="shared" si="4"/>
        <v>100</v>
      </c>
    </row>
    <row r="284" spans="6:7" x14ac:dyDescent="0.2">
      <c r="F284" s="4">
        <v>273</v>
      </c>
      <c r="G284" s="62">
        <f t="shared" si="4"/>
        <v>100</v>
      </c>
    </row>
    <row r="285" spans="6:7" x14ac:dyDescent="0.2">
      <c r="F285" s="4">
        <v>274</v>
      </c>
      <c r="G285" s="62">
        <f t="shared" si="4"/>
        <v>100</v>
      </c>
    </row>
    <row r="286" spans="6:7" x14ac:dyDescent="0.2">
      <c r="F286" s="4">
        <v>275</v>
      </c>
      <c r="G286" s="62">
        <f t="shared" si="4"/>
        <v>100</v>
      </c>
    </row>
    <row r="287" spans="6:7" x14ac:dyDescent="0.2">
      <c r="F287" s="4">
        <v>276</v>
      </c>
      <c r="G287" s="62">
        <f t="shared" si="4"/>
        <v>100</v>
      </c>
    </row>
    <row r="288" spans="6:7" x14ac:dyDescent="0.2">
      <c r="F288" s="4">
        <v>277</v>
      </c>
      <c r="G288" s="62">
        <f t="shared" si="4"/>
        <v>100</v>
      </c>
    </row>
    <row r="289" spans="6:7" x14ac:dyDescent="0.2">
      <c r="F289" s="4">
        <v>278</v>
      </c>
      <c r="G289" s="62">
        <f t="shared" si="4"/>
        <v>100</v>
      </c>
    </row>
    <row r="290" spans="6:7" x14ac:dyDescent="0.2">
      <c r="F290" s="4">
        <v>279</v>
      </c>
      <c r="G290" s="62">
        <f t="shared" si="4"/>
        <v>100</v>
      </c>
    </row>
    <row r="291" spans="6:7" x14ac:dyDescent="0.2">
      <c r="F291" s="4">
        <v>280</v>
      </c>
      <c r="G291" s="62">
        <f t="shared" si="4"/>
        <v>100</v>
      </c>
    </row>
    <row r="292" spans="6:7" x14ac:dyDescent="0.2">
      <c r="F292" s="4">
        <v>281</v>
      </c>
      <c r="G292" s="62">
        <f t="shared" si="4"/>
        <v>100</v>
      </c>
    </row>
    <row r="293" spans="6:7" x14ac:dyDescent="0.2">
      <c r="F293" s="4">
        <v>282</v>
      </c>
      <c r="G293" s="62">
        <f t="shared" si="4"/>
        <v>100</v>
      </c>
    </row>
    <row r="294" spans="6:7" x14ac:dyDescent="0.2">
      <c r="F294" s="4">
        <v>283</v>
      </c>
      <c r="G294" s="62">
        <f t="shared" si="4"/>
        <v>100</v>
      </c>
    </row>
    <row r="295" spans="6:7" x14ac:dyDescent="0.2">
      <c r="F295" s="4">
        <v>284</v>
      </c>
      <c r="G295" s="62">
        <f t="shared" si="4"/>
        <v>100</v>
      </c>
    </row>
    <row r="296" spans="6:7" x14ac:dyDescent="0.2">
      <c r="F296" s="4">
        <v>285</v>
      </c>
      <c r="G296" s="62">
        <f t="shared" si="4"/>
        <v>100</v>
      </c>
    </row>
    <row r="297" spans="6:7" x14ac:dyDescent="0.2">
      <c r="F297" s="4">
        <v>286</v>
      </c>
      <c r="G297" s="62">
        <f t="shared" si="4"/>
        <v>100</v>
      </c>
    </row>
    <row r="298" spans="6:7" x14ac:dyDescent="0.2">
      <c r="F298" s="4">
        <v>287</v>
      </c>
      <c r="G298" s="62">
        <f t="shared" si="4"/>
        <v>100</v>
      </c>
    </row>
    <row r="299" spans="6:7" x14ac:dyDescent="0.2">
      <c r="F299" s="4">
        <v>288</v>
      </c>
      <c r="G299" s="62">
        <f t="shared" si="4"/>
        <v>100</v>
      </c>
    </row>
    <row r="300" spans="6:7" x14ac:dyDescent="0.2">
      <c r="F300" s="4">
        <v>289</v>
      </c>
      <c r="G300" s="62">
        <f t="shared" si="4"/>
        <v>100</v>
      </c>
    </row>
    <row r="301" spans="6:7" x14ac:dyDescent="0.2">
      <c r="F301" s="4">
        <v>290</v>
      </c>
      <c r="G301" s="62">
        <f t="shared" si="4"/>
        <v>100</v>
      </c>
    </row>
    <row r="302" spans="6:7" x14ac:dyDescent="0.2">
      <c r="F302" s="4">
        <v>291</v>
      </c>
      <c r="G302" s="62">
        <f t="shared" si="4"/>
        <v>100</v>
      </c>
    </row>
    <row r="303" spans="6:7" x14ac:dyDescent="0.2">
      <c r="F303" s="4">
        <v>292</v>
      </c>
      <c r="G303" s="62">
        <f t="shared" si="4"/>
        <v>100</v>
      </c>
    </row>
    <row r="304" spans="6:7" x14ac:dyDescent="0.2">
      <c r="F304" s="4">
        <v>293</v>
      </c>
      <c r="G304" s="62">
        <f t="shared" si="4"/>
        <v>100</v>
      </c>
    </row>
    <row r="305" spans="6:7" x14ac:dyDescent="0.2">
      <c r="F305" s="4">
        <v>294</v>
      </c>
      <c r="G305" s="62">
        <f t="shared" si="4"/>
        <v>100</v>
      </c>
    </row>
    <row r="306" spans="6:7" x14ac:dyDescent="0.2">
      <c r="F306" s="4">
        <v>295</v>
      </c>
      <c r="G306" s="62">
        <f t="shared" si="4"/>
        <v>100</v>
      </c>
    </row>
    <row r="307" spans="6:7" x14ac:dyDescent="0.2">
      <c r="F307" s="4">
        <v>296</v>
      </c>
      <c r="G307" s="62">
        <f t="shared" si="4"/>
        <v>100</v>
      </c>
    </row>
    <row r="308" spans="6:7" x14ac:dyDescent="0.2">
      <c r="F308" s="4">
        <v>297</v>
      </c>
      <c r="G308" s="62">
        <f t="shared" si="4"/>
        <v>100</v>
      </c>
    </row>
    <row r="309" spans="6:7" x14ac:dyDescent="0.2">
      <c r="F309" s="4">
        <v>298</v>
      </c>
      <c r="G309" s="62">
        <f t="shared" si="4"/>
        <v>100</v>
      </c>
    </row>
    <row r="310" spans="6:7" x14ac:dyDescent="0.2">
      <c r="F310" s="4">
        <v>299</v>
      </c>
      <c r="G310" s="62">
        <f t="shared" si="4"/>
        <v>100</v>
      </c>
    </row>
    <row r="311" spans="6:7" x14ac:dyDescent="0.2">
      <c r="F311" s="4">
        <v>300</v>
      </c>
      <c r="G311" s="62">
        <f t="shared" si="4"/>
        <v>100</v>
      </c>
    </row>
    <row r="312" spans="6:7" x14ac:dyDescent="0.2">
      <c r="F312" s="4">
        <v>301</v>
      </c>
      <c r="G312" s="62">
        <f t="shared" si="4"/>
        <v>100</v>
      </c>
    </row>
    <row r="313" spans="6:7" x14ac:dyDescent="0.2">
      <c r="F313" s="4">
        <v>302</v>
      </c>
      <c r="G313" s="62">
        <f t="shared" si="4"/>
        <v>100</v>
      </c>
    </row>
    <row r="314" spans="6:7" x14ac:dyDescent="0.2">
      <c r="F314" s="4">
        <v>303</v>
      </c>
      <c r="G314" s="62">
        <f t="shared" si="4"/>
        <v>100</v>
      </c>
    </row>
    <row r="315" spans="6:7" x14ac:dyDescent="0.2">
      <c r="F315" s="4">
        <v>304</v>
      </c>
      <c r="G315" s="62">
        <f t="shared" si="4"/>
        <v>100</v>
      </c>
    </row>
    <row r="316" spans="6:7" x14ac:dyDescent="0.2">
      <c r="F316" s="4">
        <v>305</v>
      </c>
      <c r="G316" s="62">
        <f t="shared" si="4"/>
        <v>100</v>
      </c>
    </row>
    <row r="317" spans="6:7" x14ac:dyDescent="0.2">
      <c r="F317" s="4">
        <v>306</v>
      </c>
      <c r="G317" s="62">
        <f t="shared" si="4"/>
        <v>100</v>
      </c>
    </row>
    <row r="318" spans="6:7" x14ac:dyDescent="0.2">
      <c r="F318" s="4">
        <v>307</v>
      </c>
      <c r="G318" s="62">
        <f t="shared" si="4"/>
        <v>100</v>
      </c>
    </row>
    <row r="319" spans="6:7" x14ac:dyDescent="0.2">
      <c r="F319" s="4">
        <v>308</v>
      </c>
      <c r="G319" s="62">
        <f t="shared" si="4"/>
        <v>100</v>
      </c>
    </row>
    <row r="320" spans="6:7" x14ac:dyDescent="0.2">
      <c r="F320" s="4">
        <v>309</v>
      </c>
      <c r="G320" s="62">
        <f t="shared" si="4"/>
        <v>100</v>
      </c>
    </row>
    <row r="321" spans="6:7" x14ac:dyDescent="0.2">
      <c r="F321" s="4">
        <v>310</v>
      </c>
      <c r="G321" s="62">
        <f t="shared" si="4"/>
        <v>100</v>
      </c>
    </row>
    <row r="322" spans="6:7" x14ac:dyDescent="0.2">
      <c r="F322" s="4">
        <v>311</v>
      </c>
      <c r="G322" s="62">
        <f t="shared" si="4"/>
        <v>100</v>
      </c>
    </row>
    <row r="323" spans="6:7" x14ac:dyDescent="0.2">
      <c r="F323" s="4">
        <v>312</v>
      </c>
      <c r="G323" s="62">
        <f t="shared" si="4"/>
        <v>100</v>
      </c>
    </row>
    <row r="324" spans="6:7" x14ac:dyDescent="0.2">
      <c r="F324" s="4">
        <v>313</v>
      </c>
      <c r="G324" s="62">
        <f t="shared" si="4"/>
        <v>100</v>
      </c>
    </row>
    <row r="325" spans="6:7" x14ac:dyDescent="0.2">
      <c r="F325" s="4">
        <v>314</v>
      </c>
      <c r="G325" s="62">
        <f t="shared" si="4"/>
        <v>100</v>
      </c>
    </row>
    <row r="326" spans="6:7" x14ac:dyDescent="0.2">
      <c r="F326" s="4">
        <v>315</v>
      </c>
      <c r="G326" s="62">
        <f t="shared" si="4"/>
        <v>100</v>
      </c>
    </row>
    <row r="327" spans="6:7" x14ac:dyDescent="0.2">
      <c r="F327" s="4">
        <v>316</v>
      </c>
      <c r="G327" s="62">
        <f t="shared" si="4"/>
        <v>100</v>
      </c>
    </row>
    <row r="328" spans="6:7" x14ac:dyDescent="0.2">
      <c r="F328" s="4">
        <v>317</v>
      </c>
      <c r="G328" s="62">
        <f t="shared" si="4"/>
        <v>100</v>
      </c>
    </row>
    <row r="329" spans="6:7" x14ac:dyDescent="0.2">
      <c r="F329" s="4">
        <v>318</v>
      </c>
      <c r="G329" s="62">
        <f t="shared" si="4"/>
        <v>100</v>
      </c>
    </row>
    <row r="330" spans="6:7" x14ac:dyDescent="0.2">
      <c r="F330" s="4">
        <v>319</v>
      </c>
      <c r="G330" s="62">
        <f t="shared" si="4"/>
        <v>100</v>
      </c>
    </row>
    <row r="331" spans="6:7" x14ac:dyDescent="0.2">
      <c r="F331" s="4">
        <v>320</v>
      </c>
      <c r="G331" s="62">
        <f t="shared" si="4"/>
        <v>100</v>
      </c>
    </row>
    <row r="332" spans="6:7" x14ac:dyDescent="0.2">
      <c r="F332" s="4">
        <v>321</v>
      </c>
      <c r="G332" s="62">
        <f t="shared" ref="G332:G395" si="5">$C$13+($C$12-$C$13)* EXP((-F332)/$G$7)</f>
        <v>100</v>
      </c>
    </row>
    <row r="333" spans="6:7" x14ac:dyDescent="0.2">
      <c r="F333" s="4">
        <v>322</v>
      </c>
      <c r="G333" s="62">
        <f t="shared" si="5"/>
        <v>100</v>
      </c>
    </row>
    <row r="334" spans="6:7" x14ac:dyDescent="0.2">
      <c r="F334" s="4">
        <v>323</v>
      </c>
      <c r="G334" s="62">
        <f t="shared" si="5"/>
        <v>100</v>
      </c>
    </row>
    <row r="335" spans="6:7" x14ac:dyDescent="0.2">
      <c r="F335" s="4">
        <v>324</v>
      </c>
      <c r="G335" s="62">
        <f t="shared" si="5"/>
        <v>100</v>
      </c>
    </row>
    <row r="336" spans="6:7" x14ac:dyDescent="0.2">
      <c r="F336" s="4">
        <v>325</v>
      </c>
      <c r="G336" s="62">
        <f t="shared" si="5"/>
        <v>100</v>
      </c>
    </row>
    <row r="337" spans="6:7" x14ac:dyDescent="0.2">
      <c r="F337" s="4">
        <v>326</v>
      </c>
      <c r="G337" s="62">
        <f t="shared" si="5"/>
        <v>100</v>
      </c>
    </row>
    <row r="338" spans="6:7" x14ac:dyDescent="0.2">
      <c r="F338" s="4">
        <v>327</v>
      </c>
      <c r="G338" s="62">
        <f t="shared" si="5"/>
        <v>100</v>
      </c>
    </row>
    <row r="339" spans="6:7" x14ac:dyDescent="0.2">
      <c r="F339" s="4">
        <v>328</v>
      </c>
      <c r="G339" s="62">
        <f t="shared" si="5"/>
        <v>100</v>
      </c>
    </row>
    <row r="340" spans="6:7" x14ac:dyDescent="0.2">
      <c r="F340" s="4">
        <v>329</v>
      </c>
      <c r="G340" s="62">
        <f t="shared" si="5"/>
        <v>100</v>
      </c>
    </row>
    <row r="341" spans="6:7" x14ac:dyDescent="0.2">
      <c r="F341" s="4">
        <v>330</v>
      </c>
      <c r="G341" s="62">
        <f t="shared" si="5"/>
        <v>100</v>
      </c>
    </row>
    <row r="342" spans="6:7" x14ac:dyDescent="0.2">
      <c r="F342" s="4">
        <v>331</v>
      </c>
      <c r="G342" s="62">
        <f t="shared" si="5"/>
        <v>100</v>
      </c>
    </row>
    <row r="343" spans="6:7" x14ac:dyDescent="0.2">
      <c r="F343" s="4">
        <v>332</v>
      </c>
      <c r="G343" s="62">
        <f t="shared" si="5"/>
        <v>100</v>
      </c>
    </row>
    <row r="344" spans="6:7" x14ac:dyDescent="0.2">
      <c r="F344" s="4">
        <v>333</v>
      </c>
      <c r="G344" s="62">
        <f t="shared" si="5"/>
        <v>100</v>
      </c>
    </row>
    <row r="345" spans="6:7" x14ac:dyDescent="0.2">
      <c r="F345" s="4">
        <v>334</v>
      </c>
      <c r="G345" s="62">
        <f t="shared" si="5"/>
        <v>100</v>
      </c>
    </row>
    <row r="346" spans="6:7" x14ac:dyDescent="0.2">
      <c r="F346" s="4">
        <v>335</v>
      </c>
      <c r="G346" s="62">
        <f t="shared" si="5"/>
        <v>100</v>
      </c>
    </row>
    <row r="347" spans="6:7" x14ac:dyDescent="0.2">
      <c r="F347" s="4">
        <v>336</v>
      </c>
      <c r="G347" s="62">
        <f t="shared" si="5"/>
        <v>100</v>
      </c>
    </row>
    <row r="348" spans="6:7" x14ac:dyDescent="0.2">
      <c r="F348" s="4">
        <v>337</v>
      </c>
      <c r="G348" s="62">
        <f t="shared" si="5"/>
        <v>100</v>
      </c>
    </row>
    <row r="349" spans="6:7" x14ac:dyDescent="0.2">
      <c r="F349" s="4">
        <v>338</v>
      </c>
      <c r="G349" s="62">
        <f t="shared" si="5"/>
        <v>100</v>
      </c>
    </row>
    <row r="350" spans="6:7" x14ac:dyDescent="0.2">
      <c r="F350" s="4">
        <v>339</v>
      </c>
      <c r="G350" s="62">
        <f t="shared" si="5"/>
        <v>100</v>
      </c>
    </row>
    <row r="351" spans="6:7" x14ac:dyDescent="0.2">
      <c r="F351" s="4">
        <v>340</v>
      </c>
      <c r="G351" s="62">
        <f t="shared" si="5"/>
        <v>100</v>
      </c>
    </row>
    <row r="352" spans="6:7" x14ac:dyDescent="0.2">
      <c r="F352" s="4">
        <v>341</v>
      </c>
      <c r="G352" s="62">
        <f t="shared" si="5"/>
        <v>100</v>
      </c>
    </row>
    <row r="353" spans="6:7" x14ac:dyDescent="0.2">
      <c r="F353" s="4">
        <v>342</v>
      </c>
      <c r="G353" s="62">
        <f t="shared" si="5"/>
        <v>100</v>
      </c>
    </row>
    <row r="354" spans="6:7" x14ac:dyDescent="0.2">
      <c r="F354" s="4">
        <v>343</v>
      </c>
      <c r="G354" s="62">
        <f t="shared" si="5"/>
        <v>100</v>
      </c>
    </row>
    <row r="355" spans="6:7" x14ac:dyDescent="0.2">
      <c r="F355" s="4">
        <v>344</v>
      </c>
      <c r="G355" s="62">
        <f t="shared" si="5"/>
        <v>100</v>
      </c>
    </row>
    <row r="356" spans="6:7" x14ac:dyDescent="0.2">
      <c r="F356" s="4">
        <v>345</v>
      </c>
      <c r="G356" s="62">
        <f t="shared" si="5"/>
        <v>100</v>
      </c>
    </row>
    <row r="357" spans="6:7" x14ac:dyDescent="0.2">
      <c r="F357" s="4">
        <v>346</v>
      </c>
      <c r="G357" s="62">
        <f t="shared" si="5"/>
        <v>100</v>
      </c>
    </row>
    <row r="358" spans="6:7" x14ac:dyDescent="0.2">
      <c r="F358" s="4">
        <v>347</v>
      </c>
      <c r="G358" s="62">
        <f t="shared" si="5"/>
        <v>100</v>
      </c>
    </row>
    <row r="359" spans="6:7" x14ac:dyDescent="0.2">
      <c r="F359" s="4">
        <v>348</v>
      </c>
      <c r="G359" s="62">
        <f t="shared" si="5"/>
        <v>100</v>
      </c>
    </row>
    <row r="360" spans="6:7" x14ac:dyDescent="0.2">
      <c r="F360" s="4">
        <v>349</v>
      </c>
      <c r="G360" s="62">
        <f t="shared" si="5"/>
        <v>100</v>
      </c>
    </row>
    <row r="361" spans="6:7" x14ac:dyDescent="0.2">
      <c r="F361" s="4">
        <v>350</v>
      </c>
      <c r="G361" s="62">
        <f t="shared" si="5"/>
        <v>100</v>
      </c>
    </row>
    <row r="362" spans="6:7" x14ac:dyDescent="0.2">
      <c r="F362" s="4">
        <v>351</v>
      </c>
      <c r="G362" s="62">
        <f t="shared" si="5"/>
        <v>100</v>
      </c>
    </row>
    <row r="363" spans="6:7" x14ac:dyDescent="0.2">
      <c r="F363" s="4">
        <v>352</v>
      </c>
      <c r="G363" s="62">
        <f t="shared" si="5"/>
        <v>100</v>
      </c>
    </row>
    <row r="364" spans="6:7" x14ac:dyDescent="0.2">
      <c r="F364" s="4">
        <v>353</v>
      </c>
      <c r="G364" s="62">
        <f t="shared" si="5"/>
        <v>100</v>
      </c>
    </row>
    <row r="365" spans="6:7" x14ac:dyDescent="0.2">
      <c r="F365" s="4">
        <v>354</v>
      </c>
      <c r="G365" s="62">
        <f t="shared" si="5"/>
        <v>100</v>
      </c>
    </row>
    <row r="366" spans="6:7" x14ac:dyDescent="0.2">
      <c r="F366" s="4">
        <v>355</v>
      </c>
      <c r="G366" s="62">
        <f t="shared" si="5"/>
        <v>100</v>
      </c>
    </row>
    <row r="367" spans="6:7" x14ac:dyDescent="0.2">
      <c r="F367" s="4">
        <v>356</v>
      </c>
      <c r="G367" s="62">
        <f t="shared" si="5"/>
        <v>100</v>
      </c>
    </row>
    <row r="368" spans="6:7" x14ac:dyDescent="0.2">
      <c r="F368" s="4">
        <v>357</v>
      </c>
      <c r="G368" s="62">
        <f t="shared" si="5"/>
        <v>100</v>
      </c>
    </row>
    <row r="369" spans="6:7" x14ac:dyDescent="0.2">
      <c r="F369" s="4">
        <v>358</v>
      </c>
      <c r="G369" s="62">
        <f t="shared" si="5"/>
        <v>100</v>
      </c>
    </row>
    <row r="370" spans="6:7" x14ac:dyDescent="0.2">
      <c r="F370" s="4">
        <v>359</v>
      </c>
      <c r="G370" s="62">
        <f t="shared" si="5"/>
        <v>100</v>
      </c>
    </row>
    <row r="371" spans="6:7" x14ac:dyDescent="0.2">
      <c r="F371" s="4">
        <v>360</v>
      </c>
      <c r="G371" s="62">
        <f t="shared" si="5"/>
        <v>100</v>
      </c>
    </row>
    <row r="372" spans="6:7" x14ac:dyDescent="0.2">
      <c r="F372" s="4">
        <v>361</v>
      </c>
      <c r="G372" s="62">
        <f t="shared" si="5"/>
        <v>100</v>
      </c>
    </row>
    <row r="373" spans="6:7" x14ac:dyDescent="0.2">
      <c r="F373" s="4">
        <v>362</v>
      </c>
      <c r="G373" s="62">
        <f t="shared" si="5"/>
        <v>100</v>
      </c>
    </row>
    <row r="374" spans="6:7" x14ac:dyDescent="0.2">
      <c r="F374" s="4">
        <v>363</v>
      </c>
      <c r="G374" s="62">
        <f t="shared" si="5"/>
        <v>100</v>
      </c>
    </row>
    <row r="375" spans="6:7" x14ac:dyDescent="0.2">
      <c r="F375" s="4">
        <v>364</v>
      </c>
      <c r="G375" s="62">
        <f t="shared" si="5"/>
        <v>100</v>
      </c>
    </row>
    <row r="376" spans="6:7" x14ac:dyDescent="0.2">
      <c r="F376" s="4">
        <v>365</v>
      </c>
      <c r="G376" s="62">
        <f t="shared" si="5"/>
        <v>100</v>
      </c>
    </row>
    <row r="377" spans="6:7" x14ac:dyDescent="0.2">
      <c r="F377" s="4">
        <v>366</v>
      </c>
      <c r="G377" s="62">
        <f t="shared" si="5"/>
        <v>100</v>
      </c>
    </row>
    <row r="378" spans="6:7" x14ac:dyDescent="0.2">
      <c r="F378" s="4">
        <v>367</v>
      </c>
      <c r="G378" s="62">
        <f t="shared" si="5"/>
        <v>100</v>
      </c>
    </row>
    <row r="379" spans="6:7" x14ac:dyDescent="0.2">
      <c r="F379" s="4">
        <v>368</v>
      </c>
      <c r="G379" s="62">
        <f t="shared" si="5"/>
        <v>100</v>
      </c>
    </row>
    <row r="380" spans="6:7" x14ac:dyDescent="0.2">
      <c r="F380" s="4">
        <v>369</v>
      </c>
      <c r="G380" s="62">
        <f t="shared" si="5"/>
        <v>100</v>
      </c>
    </row>
    <row r="381" spans="6:7" x14ac:dyDescent="0.2">
      <c r="F381" s="4">
        <v>370</v>
      </c>
      <c r="G381" s="62">
        <f t="shared" si="5"/>
        <v>100</v>
      </c>
    </row>
    <row r="382" spans="6:7" x14ac:dyDescent="0.2">
      <c r="F382" s="4">
        <v>371</v>
      </c>
      <c r="G382" s="62">
        <f t="shared" si="5"/>
        <v>100</v>
      </c>
    </row>
    <row r="383" spans="6:7" x14ac:dyDescent="0.2">
      <c r="F383" s="4">
        <v>372</v>
      </c>
      <c r="G383" s="62">
        <f t="shared" si="5"/>
        <v>100</v>
      </c>
    </row>
    <row r="384" spans="6:7" x14ac:dyDescent="0.2">
      <c r="F384" s="4">
        <v>373</v>
      </c>
      <c r="G384" s="62">
        <f t="shared" si="5"/>
        <v>100</v>
      </c>
    </row>
    <row r="385" spans="6:7" x14ac:dyDescent="0.2">
      <c r="F385" s="4">
        <v>374</v>
      </c>
      <c r="G385" s="62">
        <f t="shared" si="5"/>
        <v>100</v>
      </c>
    </row>
    <row r="386" spans="6:7" x14ac:dyDescent="0.2">
      <c r="F386" s="4">
        <v>375</v>
      </c>
      <c r="G386" s="62">
        <f t="shared" si="5"/>
        <v>100</v>
      </c>
    </row>
    <row r="387" spans="6:7" x14ac:dyDescent="0.2">
      <c r="F387" s="4">
        <v>376</v>
      </c>
      <c r="G387" s="62">
        <f t="shared" si="5"/>
        <v>100</v>
      </c>
    </row>
    <row r="388" spans="6:7" x14ac:dyDescent="0.2">
      <c r="F388" s="4">
        <v>377</v>
      </c>
      <c r="G388" s="62">
        <f t="shared" si="5"/>
        <v>100</v>
      </c>
    </row>
    <row r="389" spans="6:7" x14ac:dyDescent="0.2">
      <c r="F389" s="4">
        <v>378</v>
      </c>
      <c r="G389" s="62">
        <f t="shared" si="5"/>
        <v>100</v>
      </c>
    </row>
    <row r="390" spans="6:7" x14ac:dyDescent="0.2">
      <c r="F390" s="4">
        <v>379</v>
      </c>
      <c r="G390" s="62">
        <f t="shared" si="5"/>
        <v>100</v>
      </c>
    </row>
    <row r="391" spans="6:7" x14ac:dyDescent="0.2">
      <c r="F391" s="4">
        <v>380</v>
      </c>
      <c r="G391" s="62">
        <f t="shared" si="5"/>
        <v>100</v>
      </c>
    </row>
    <row r="392" spans="6:7" x14ac:dyDescent="0.2">
      <c r="F392" s="4">
        <v>381</v>
      </c>
      <c r="G392" s="62">
        <f t="shared" si="5"/>
        <v>100</v>
      </c>
    </row>
    <row r="393" spans="6:7" x14ac:dyDescent="0.2">
      <c r="F393" s="4">
        <v>382</v>
      </c>
      <c r="G393" s="62">
        <f t="shared" si="5"/>
        <v>100</v>
      </c>
    </row>
    <row r="394" spans="6:7" x14ac:dyDescent="0.2">
      <c r="F394" s="4">
        <v>383</v>
      </c>
      <c r="G394" s="62">
        <f t="shared" si="5"/>
        <v>100</v>
      </c>
    </row>
    <row r="395" spans="6:7" x14ac:dyDescent="0.2">
      <c r="F395" s="4">
        <v>384</v>
      </c>
      <c r="G395" s="62">
        <f t="shared" si="5"/>
        <v>100</v>
      </c>
    </row>
    <row r="396" spans="6:7" x14ac:dyDescent="0.2">
      <c r="F396" s="4">
        <v>385</v>
      </c>
      <c r="G396" s="62">
        <f t="shared" ref="G396:G459" si="6">$C$13+($C$12-$C$13)* EXP((-F396)/$G$7)</f>
        <v>100</v>
      </c>
    </row>
    <row r="397" spans="6:7" x14ac:dyDescent="0.2">
      <c r="F397" s="4">
        <v>386</v>
      </c>
      <c r="G397" s="62">
        <f t="shared" si="6"/>
        <v>100</v>
      </c>
    </row>
    <row r="398" spans="6:7" x14ac:dyDescent="0.2">
      <c r="F398" s="4">
        <v>387</v>
      </c>
      <c r="G398" s="62">
        <f t="shared" si="6"/>
        <v>100</v>
      </c>
    </row>
    <row r="399" spans="6:7" x14ac:dyDescent="0.2">
      <c r="F399" s="4">
        <v>388</v>
      </c>
      <c r="G399" s="62">
        <f t="shared" si="6"/>
        <v>100</v>
      </c>
    </row>
    <row r="400" spans="6:7" x14ac:dyDescent="0.2">
      <c r="F400" s="4">
        <v>389</v>
      </c>
      <c r="G400" s="62">
        <f t="shared" si="6"/>
        <v>100</v>
      </c>
    </row>
    <row r="401" spans="6:7" x14ac:dyDescent="0.2">
      <c r="F401" s="4">
        <v>390</v>
      </c>
      <c r="G401" s="62">
        <f t="shared" si="6"/>
        <v>100</v>
      </c>
    </row>
    <row r="402" spans="6:7" x14ac:dyDescent="0.2">
      <c r="F402" s="4">
        <v>391</v>
      </c>
      <c r="G402" s="62">
        <f t="shared" si="6"/>
        <v>100</v>
      </c>
    </row>
    <row r="403" spans="6:7" x14ac:dyDescent="0.2">
      <c r="F403" s="4">
        <v>392</v>
      </c>
      <c r="G403" s="62">
        <f t="shared" si="6"/>
        <v>100</v>
      </c>
    </row>
    <row r="404" spans="6:7" x14ac:dyDescent="0.2">
      <c r="F404" s="4">
        <v>393</v>
      </c>
      <c r="G404" s="62">
        <f t="shared" si="6"/>
        <v>100</v>
      </c>
    </row>
    <row r="405" spans="6:7" x14ac:dyDescent="0.2">
      <c r="F405" s="4">
        <v>394</v>
      </c>
      <c r="G405" s="62">
        <f t="shared" si="6"/>
        <v>100</v>
      </c>
    </row>
    <row r="406" spans="6:7" x14ac:dyDescent="0.2">
      <c r="F406" s="4">
        <v>395</v>
      </c>
      <c r="G406" s="62">
        <f t="shared" si="6"/>
        <v>100</v>
      </c>
    </row>
    <row r="407" spans="6:7" x14ac:dyDescent="0.2">
      <c r="F407" s="4">
        <v>396</v>
      </c>
      <c r="G407" s="62">
        <f t="shared" si="6"/>
        <v>100</v>
      </c>
    </row>
    <row r="408" spans="6:7" x14ac:dyDescent="0.2">
      <c r="F408" s="4">
        <v>397</v>
      </c>
      <c r="G408" s="62">
        <f t="shared" si="6"/>
        <v>100</v>
      </c>
    </row>
    <row r="409" spans="6:7" x14ac:dyDescent="0.2">
      <c r="F409" s="4">
        <v>398</v>
      </c>
      <c r="G409" s="62">
        <f t="shared" si="6"/>
        <v>100</v>
      </c>
    </row>
    <row r="410" spans="6:7" x14ac:dyDescent="0.2">
      <c r="F410" s="4">
        <v>399</v>
      </c>
      <c r="G410" s="62">
        <f t="shared" si="6"/>
        <v>100</v>
      </c>
    </row>
    <row r="411" spans="6:7" x14ac:dyDescent="0.2">
      <c r="F411" s="4">
        <v>400</v>
      </c>
      <c r="G411" s="62">
        <f t="shared" si="6"/>
        <v>100</v>
      </c>
    </row>
    <row r="412" spans="6:7" x14ac:dyDescent="0.2">
      <c r="F412" s="4">
        <v>401</v>
      </c>
      <c r="G412" s="62">
        <f t="shared" si="6"/>
        <v>100</v>
      </c>
    </row>
    <row r="413" spans="6:7" x14ac:dyDescent="0.2">
      <c r="F413" s="4">
        <v>402</v>
      </c>
      <c r="G413" s="62">
        <f t="shared" si="6"/>
        <v>100</v>
      </c>
    </row>
    <row r="414" spans="6:7" x14ac:dyDescent="0.2">
      <c r="F414" s="4">
        <v>403</v>
      </c>
      <c r="G414" s="62">
        <f t="shared" si="6"/>
        <v>100</v>
      </c>
    </row>
    <row r="415" spans="6:7" x14ac:dyDescent="0.2">
      <c r="F415" s="4">
        <v>404</v>
      </c>
      <c r="G415" s="62">
        <f t="shared" si="6"/>
        <v>100</v>
      </c>
    </row>
    <row r="416" spans="6:7" x14ac:dyDescent="0.2">
      <c r="F416" s="4">
        <v>405</v>
      </c>
      <c r="G416" s="62">
        <f t="shared" si="6"/>
        <v>100</v>
      </c>
    </row>
    <row r="417" spans="6:7" x14ac:dyDescent="0.2">
      <c r="F417" s="4">
        <v>406</v>
      </c>
      <c r="G417" s="62">
        <f t="shared" si="6"/>
        <v>100</v>
      </c>
    </row>
    <row r="418" spans="6:7" x14ac:dyDescent="0.2">
      <c r="F418" s="4">
        <v>407</v>
      </c>
      <c r="G418" s="62">
        <f t="shared" si="6"/>
        <v>100</v>
      </c>
    </row>
    <row r="419" spans="6:7" x14ac:dyDescent="0.2">
      <c r="F419" s="4">
        <v>408</v>
      </c>
      <c r="G419" s="62">
        <f t="shared" si="6"/>
        <v>100</v>
      </c>
    </row>
    <row r="420" spans="6:7" x14ac:dyDescent="0.2">
      <c r="F420" s="4">
        <v>409</v>
      </c>
      <c r="G420" s="62">
        <f t="shared" si="6"/>
        <v>100</v>
      </c>
    </row>
    <row r="421" spans="6:7" x14ac:dyDescent="0.2">
      <c r="F421" s="4">
        <v>410</v>
      </c>
      <c r="G421" s="62">
        <f t="shared" si="6"/>
        <v>100</v>
      </c>
    </row>
    <row r="422" spans="6:7" x14ac:dyDescent="0.2">
      <c r="F422" s="4">
        <v>411</v>
      </c>
      <c r="G422" s="62">
        <f t="shared" si="6"/>
        <v>100</v>
      </c>
    </row>
    <row r="423" spans="6:7" x14ac:dyDescent="0.2">
      <c r="F423" s="4">
        <v>412</v>
      </c>
      <c r="G423" s="62">
        <f t="shared" si="6"/>
        <v>100</v>
      </c>
    </row>
    <row r="424" spans="6:7" x14ac:dyDescent="0.2">
      <c r="F424" s="4">
        <v>413</v>
      </c>
      <c r="G424" s="62">
        <f t="shared" si="6"/>
        <v>100</v>
      </c>
    </row>
    <row r="425" spans="6:7" x14ac:dyDescent="0.2">
      <c r="F425" s="4">
        <v>414</v>
      </c>
      <c r="G425" s="62">
        <f t="shared" si="6"/>
        <v>100</v>
      </c>
    </row>
    <row r="426" spans="6:7" x14ac:dyDescent="0.2">
      <c r="F426" s="4">
        <v>415</v>
      </c>
      <c r="G426" s="62">
        <f t="shared" si="6"/>
        <v>100</v>
      </c>
    </row>
    <row r="427" spans="6:7" x14ac:dyDescent="0.2">
      <c r="F427" s="4">
        <v>416</v>
      </c>
      <c r="G427" s="62">
        <f t="shared" si="6"/>
        <v>100</v>
      </c>
    </row>
    <row r="428" spans="6:7" x14ac:dyDescent="0.2">
      <c r="F428" s="4">
        <v>417</v>
      </c>
      <c r="G428" s="62">
        <f t="shared" si="6"/>
        <v>100</v>
      </c>
    </row>
    <row r="429" spans="6:7" x14ac:dyDescent="0.2">
      <c r="F429" s="4">
        <v>418</v>
      </c>
      <c r="G429" s="62">
        <f t="shared" si="6"/>
        <v>100</v>
      </c>
    </row>
    <row r="430" spans="6:7" x14ac:dyDescent="0.2">
      <c r="F430" s="4">
        <v>419</v>
      </c>
      <c r="G430" s="62">
        <f t="shared" si="6"/>
        <v>100</v>
      </c>
    </row>
    <row r="431" spans="6:7" x14ac:dyDescent="0.2">
      <c r="F431" s="4">
        <v>420</v>
      </c>
      <c r="G431" s="62">
        <f t="shared" si="6"/>
        <v>100</v>
      </c>
    </row>
    <row r="432" spans="6:7" x14ac:dyDescent="0.2">
      <c r="F432" s="4">
        <v>421</v>
      </c>
      <c r="G432" s="62">
        <f t="shared" si="6"/>
        <v>100</v>
      </c>
    </row>
    <row r="433" spans="6:7" x14ac:dyDescent="0.2">
      <c r="F433" s="4">
        <v>422</v>
      </c>
      <c r="G433" s="62">
        <f t="shared" si="6"/>
        <v>100</v>
      </c>
    </row>
    <row r="434" spans="6:7" x14ac:dyDescent="0.2">
      <c r="F434" s="4">
        <v>423</v>
      </c>
      <c r="G434" s="62">
        <f t="shared" si="6"/>
        <v>100</v>
      </c>
    </row>
    <row r="435" spans="6:7" x14ac:dyDescent="0.2">
      <c r="F435" s="4">
        <v>424</v>
      </c>
      <c r="G435" s="62">
        <f t="shared" si="6"/>
        <v>100</v>
      </c>
    </row>
    <row r="436" spans="6:7" x14ac:dyDescent="0.2">
      <c r="F436" s="4">
        <v>425</v>
      </c>
      <c r="G436" s="62">
        <f t="shared" si="6"/>
        <v>100</v>
      </c>
    </row>
    <row r="437" spans="6:7" x14ac:dyDescent="0.2">
      <c r="F437" s="4">
        <v>426</v>
      </c>
      <c r="G437" s="62">
        <f t="shared" si="6"/>
        <v>100</v>
      </c>
    </row>
    <row r="438" spans="6:7" x14ac:dyDescent="0.2">
      <c r="F438" s="4">
        <v>427</v>
      </c>
      <c r="G438" s="62">
        <f t="shared" si="6"/>
        <v>100</v>
      </c>
    </row>
    <row r="439" spans="6:7" x14ac:dyDescent="0.2">
      <c r="F439" s="4">
        <v>428</v>
      </c>
      <c r="G439" s="62">
        <f t="shared" si="6"/>
        <v>100</v>
      </c>
    </row>
    <row r="440" spans="6:7" x14ac:dyDescent="0.2">
      <c r="F440" s="4">
        <v>429</v>
      </c>
      <c r="G440" s="62">
        <f t="shared" si="6"/>
        <v>100</v>
      </c>
    </row>
    <row r="441" spans="6:7" x14ac:dyDescent="0.2">
      <c r="F441" s="4">
        <v>430</v>
      </c>
      <c r="G441" s="62">
        <f t="shared" si="6"/>
        <v>100</v>
      </c>
    </row>
    <row r="442" spans="6:7" x14ac:dyDescent="0.2">
      <c r="F442" s="4">
        <v>431</v>
      </c>
      <c r="G442" s="62">
        <f t="shared" si="6"/>
        <v>100</v>
      </c>
    </row>
    <row r="443" spans="6:7" x14ac:dyDescent="0.2">
      <c r="F443" s="4">
        <v>432</v>
      </c>
      <c r="G443" s="62">
        <f t="shared" si="6"/>
        <v>100</v>
      </c>
    </row>
    <row r="444" spans="6:7" x14ac:dyDescent="0.2">
      <c r="F444" s="4">
        <v>433</v>
      </c>
      <c r="G444" s="62">
        <f t="shared" si="6"/>
        <v>100</v>
      </c>
    </row>
    <row r="445" spans="6:7" x14ac:dyDescent="0.2">
      <c r="F445" s="4">
        <v>434</v>
      </c>
      <c r="G445" s="62">
        <f t="shared" si="6"/>
        <v>100</v>
      </c>
    </row>
    <row r="446" spans="6:7" x14ac:dyDescent="0.2">
      <c r="F446" s="4">
        <v>435</v>
      </c>
      <c r="G446" s="62">
        <f t="shared" si="6"/>
        <v>100</v>
      </c>
    </row>
    <row r="447" spans="6:7" x14ac:dyDescent="0.2">
      <c r="F447" s="4">
        <v>436</v>
      </c>
      <c r="G447" s="62">
        <f t="shared" si="6"/>
        <v>100</v>
      </c>
    </row>
    <row r="448" spans="6:7" x14ac:dyDescent="0.2">
      <c r="F448" s="4">
        <v>437</v>
      </c>
      <c r="G448" s="62">
        <f t="shared" si="6"/>
        <v>100</v>
      </c>
    </row>
    <row r="449" spans="6:7" x14ac:dyDescent="0.2">
      <c r="F449" s="4">
        <v>438</v>
      </c>
      <c r="G449" s="62">
        <f t="shared" si="6"/>
        <v>100</v>
      </c>
    </row>
    <row r="450" spans="6:7" x14ac:dyDescent="0.2">
      <c r="F450" s="4">
        <v>439</v>
      </c>
      <c r="G450" s="62">
        <f t="shared" si="6"/>
        <v>100</v>
      </c>
    </row>
    <row r="451" spans="6:7" x14ac:dyDescent="0.2">
      <c r="F451" s="4">
        <v>440</v>
      </c>
      <c r="G451" s="62">
        <f t="shared" si="6"/>
        <v>100</v>
      </c>
    </row>
    <row r="452" spans="6:7" x14ac:dyDescent="0.2">
      <c r="F452" s="4">
        <v>441</v>
      </c>
      <c r="G452" s="62">
        <f t="shared" si="6"/>
        <v>100</v>
      </c>
    </row>
    <row r="453" spans="6:7" x14ac:dyDescent="0.2">
      <c r="F453" s="4">
        <v>442</v>
      </c>
      <c r="G453" s="62">
        <f t="shared" si="6"/>
        <v>100</v>
      </c>
    </row>
    <row r="454" spans="6:7" x14ac:dyDescent="0.2">
      <c r="F454" s="4">
        <v>443</v>
      </c>
      <c r="G454" s="62">
        <f t="shared" si="6"/>
        <v>100</v>
      </c>
    </row>
    <row r="455" spans="6:7" x14ac:dyDescent="0.2">
      <c r="F455" s="4">
        <v>444</v>
      </c>
      <c r="G455" s="62">
        <f t="shared" si="6"/>
        <v>100</v>
      </c>
    </row>
    <row r="456" spans="6:7" x14ac:dyDescent="0.2">
      <c r="F456" s="4">
        <v>445</v>
      </c>
      <c r="G456" s="62">
        <f t="shared" si="6"/>
        <v>100</v>
      </c>
    </row>
    <row r="457" spans="6:7" x14ac:dyDescent="0.2">
      <c r="F457" s="4">
        <v>446</v>
      </c>
      <c r="G457" s="62">
        <f t="shared" si="6"/>
        <v>100</v>
      </c>
    </row>
    <row r="458" spans="6:7" x14ac:dyDescent="0.2">
      <c r="F458" s="4">
        <v>447</v>
      </c>
      <c r="G458" s="62">
        <f t="shared" si="6"/>
        <v>100</v>
      </c>
    </row>
    <row r="459" spans="6:7" x14ac:dyDescent="0.2">
      <c r="F459" s="4">
        <v>448</v>
      </c>
      <c r="G459" s="62">
        <f t="shared" si="6"/>
        <v>100</v>
      </c>
    </row>
    <row r="460" spans="6:7" x14ac:dyDescent="0.2">
      <c r="F460" s="4">
        <v>449</v>
      </c>
      <c r="G460" s="62">
        <f t="shared" ref="G460:G523" si="7">$C$13+($C$12-$C$13)* EXP((-F460)/$G$7)</f>
        <v>100</v>
      </c>
    </row>
    <row r="461" spans="6:7" x14ac:dyDescent="0.2">
      <c r="F461" s="4">
        <v>450</v>
      </c>
      <c r="G461" s="62">
        <f t="shared" si="7"/>
        <v>100</v>
      </c>
    </row>
    <row r="462" spans="6:7" x14ac:dyDescent="0.2">
      <c r="F462" s="4">
        <v>451</v>
      </c>
      <c r="G462" s="62">
        <f t="shared" si="7"/>
        <v>100</v>
      </c>
    </row>
    <row r="463" spans="6:7" x14ac:dyDescent="0.2">
      <c r="F463" s="4">
        <v>452</v>
      </c>
      <c r="G463" s="62">
        <f t="shared" si="7"/>
        <v>100</v>
      </c>
    </row>
    <row r="464" spans="6:7" x14ac:dyDescent="0.2">
      <c r="F464" s="4">
        <v>453</v>
      </c>
      <c r="G464" s="62">
        <f t="shared" si="7"/>
        <v>100</v>
      </c>
    </row>
    <row r="465" spans="6:7" x14ac:dyDescent="0.2">
      <c r="F465" s="4">
        <v>454</v>
      </c>
      <c r="G465" s="62">
        <f t="shared" si="7"/>
        <v>100</v>
      </c>
    </row>
    <row r="466" spans="6:7" x14ac:dyDescent="0.2">
      <c r="F466" s="4">
        <v>455</v>
      </c>
      <c r="G466" s="62">
        <f t="shared" si="7"/>
        <v>100</v>
      </c>
    </row>
    <row r="467" spans="6:7" x14ac:dyDescent="0.2">
      <c r="F467" s="4">
        <v>456</v>
      </c>
      <c r="G467" s="62">
        <f t="shared" si="7"/>
        <v>100</v>
      </c>
    </row>
    <row r="468" spans="6:7" x14ac:dyDescent="0.2">
      <c r="F468" s="4">
        <v>457</v>
      </c>
      <c r="G468" s="62">
        <f t="shared" si="7"/>
        <v>100</v>
      </c>
    </row>
    <row r="469" spans="6:7" x14ac:dyDescent="0.2">
      <c r="F469" s="4">
        <v>458</v>
      </c>
      <c r="G469" s="62">
        <f t="shared" si="7"/>
        <v>100</v>
      </c>
    </row>
    <row r="470" spans="6:7" x14ac:dyDescent="0.2">
      <c r="F470" s="4">
        <v>459</v>
      </c>
      <c r="G470" s="62">
        <f t="shared" si="7"/>
        <v>100</v>
      </c>
    </row>
    <row r="471" spans="6:7" x14ac:dyDescent="0.2">
      <c r="F471" s="4">
        <v>460</v>
      </c>
      <c r="G471" s="62">
        <f t="shared" si="7"/>
        <v>100</v>
      </c>
    </row>
    <row r="472" spans="6:7" x14ac:dyDescent="0.2">
      <c r="F472" s="4">
        <v>461</v>
      </c>
      <c r="G472" s="62">
        <f t="shared" si="7"/>
        <v>100</v>
      </c>
    </row>
    <row r="473" spans="6:7" x14ac:dyDescent="0.2">
      <c r="F473" s="4">
        <v>462</v>
      </c>
      <c r="G473" s="62">
        <f t="shared" si="7"/>
        <v>100</v>
      </c>
    </row>
    <row r="474" spans="6:7" x14ac:dyDescent="0.2">
      <c r="F474" s="4">
        <v>463</v>
      </c>
      <c r="G474" s="62">
        <f t="shared" si="7"/>
        <v>100</v>
      </c>
    </row>
    <row r="475" spans="6:7" x14ac:dyDescent="0.2">
      <c r="F475" s="4">
        <v>464</v>
      </c>
      <c r="G475" s="62">
        <f t="shared" si="7"/>
        <v>100</v>
      </c>
    </row>
    <row r="476" spans="6:7" x14ac:dyDescent="0.2">
      <c r="F476" s="4">
        <v>465</v>
      </c>
      <c r="G476" s="62">
        <f t="shared" si="7"/>
        <v>100</v>
      </c>
    </row>
    <row r="477" spans="6:7" x14ac:dyDescent="0.2">
      <c r="F477" s="4">
        <v>466</v>
      </c>
      <c r="G477" s="62">
        <f t="shared" si="7"/>
        <v>100</v>
      </c>
    </row>
    <row r="478" spans="6:7" x14ac:dyDescent="0.2">
      <c r="F478" s="4">
        <v>467</v>
      </c>
      <c r="G478" s="62">
        <f t="shared" si="7"/>
        <v>100</v>
      </c>
    </row>
    <row r="479" spans="6:7" x14ac:dyDescent="0.2">
      <c r="F479" s="4">
        <v>468</v>
      </c>
      <c r="G479" s="62">
        <f t="shared" si="7"/>
        <v>100</v>
      </c>
    </row>
    <row r="480" spans="6:7" x14ac:dyDescent="0.2">
      <c r="F480" s="4">
        <v>469</v>
      </c>
      <c r="G480" s="62">
        <f t="shared" si="7"/>
        <v>100</v>
      </c>
    </row>
    <row r="481" spans="6:7" x14ac:dyDescent="0.2">
      <c r="F481" s="4">
        <v>470</v>
      </c>
      <c r="G481" s="62">
        <f t="shared" si="7"/>
        <v>100</v>
      </c>
    </row>
    <row r="482" spans="6:7" x14ac:dyDescent="0.2">
      <c r="F482" s="4">
        <v>471</v>
      </c>
      <c r="G482" s="62">
        <f t="shared" si="7"/>
        <v>100</v>
      </c>
    </row>
    <row r="483" spans="6:7" x14ac:dyDescent="0.2">
      <c r="F483" s="4">
        <v>472</v>
      </c>
      <c r="G483" s="62">
        <f t="shared" si="7"/>
        <v>100</v>
      </c>
    </row>
    <row r="484" spans="6:7" x14ac:dyDescent="0.2">
      <c r="F484" s="4">
        <v>473</v>
      </c>
      <c r="G484" s="62">
        <f t="shared" si="7"/>
        <v>100</v>
      </c>
    </row>
    <row r="485" spans="6:7" x14ac:dyDescent="0.2">
      <c r="F485" s="4">
        <v>474</v>
      </c>
      <c r="G485" s="62">
        <f t="shared" si="7"/>
        <v>100</v>
      </c>
    </row>
    <row r="486" spans="6:7" x14ac:dyDescent="0.2">
      <c r="F486" s="4">
        <v>475</v>
      </c>
      <c r="G486" s="62">
        <f t="shared" si="7"/>
        <v>100</v>
      </c>
    </row>
    <row r="487" spans="6:7" x14ac:dyDescent="0.2">
      <c r="F487" s="4">
        <v>476</v>
      </c>
      <c r="G487" s="62">
        <f t="shared" si="7"/>
        <v>100</v>
      </c>
    </row>
    <row r="488" spans="6:7" x14ac:dyDescent="0.2">
      <c r="F488" s="4">
        <v>477</v>
      </c>
      <c r="G488" s="62">
        <f t="shared" si="7"/>
        <v>100</v>
      </c>
    </row>
    <row r="489" spans="6:7" x14ac:dyDescent="0.2">
      <c r="F489" s="4">
        <v>478</v>
      </c>
      <c r="G489" s="62">
        <f t="shared" si="7"/>
        <v>100</v>
      </c>
    </row>
    <row r="490" spans="6:7" x14ac:dyDescent="0.2">
      <c r="F490" s="4">
        <v>479</v>
      </c>
      <c r="G490" s="62">
        <f t="shared" si="7"/>
        <v>100</v>
      </c>
    </row>
    <row r="491" spans="6:7" x14ac:dyDescent="0.2">
      <c r="F491" s="4">
        <v>480</v>
      </c>
      <c r="G491" s="62">
        <f t="shared" si="7"/>
        <v>100</v>
      </c>
    </row>
    <row r="492" spans="6:7" x14ac:dyDescent="0.2">
      <c r="F492" s="4">
        <v>481</v>
      </c>
      <c r="G492" s="62">
        <f t="shared" si="7"/>
        <v>100</v>
      </c>
    </row>
    <row r="493" spans="6:7" x14ac:dyDescent="0.2">
      <c r="F493" s="4">
        <v>482</v>
      </c>
      <c r="G493" s="62">
        <f t="shared" si="7"/>
        <v>100</v>
      </c>
    </row>
    <row r="494" spans="6:7" x14ac:dyDescent="0.2">
      <c r="F494" s="4">
        <v>483</v>
      </c>
      <c r="G494" s="62">
        <f t="shared" si="7"/>
        <v>100</v>
      </c>
    </row>
    <row r="495" spans="6:7" x14ac:dyDescent="0.2">
      <c r="F495" s="4">
        <v>484</v>
      </c>
      <c r="G495" s="62">
        <f t="shared" si="7"/>
        <v>100</v>
      </c>
    </row>
    <row r="496" spans="6:7" x14ac:dyDescent="0.2">
      <c r="F496" s="4">
        <v>485</v>
      </c>
      <c r="G496" s="62">
        <f t="shared" si="7"/>
        <v>100</v>
      </c>
    </row>
    <row r="497" spans="6:7" x14ac:dyDescent="0.2">
      <c r="F497" s="4">
        <v>486</v>
      </c>
      <c r="G497" s="62">
        <f t="shared" si="7"/>
        <v>100</v>
      </c>
    </row>
    <row r="498" spans="6:7" x14ac:dyDescent="0.2">
      <c r="F498" s="4">
        <v>487</v>
      </c>
      <c r="G498" s="62">
        <f t="shared" si="7"/>
        <v>100</v>
      </c>
    </row>
    <row r="499" spans="6:7" x14ac:dyDescent="0.2">
      <c r="F499" s="4">
        <v>488</v>
      </c>
      <c r="G499" s="62">
        <f t="shared" si="7"/>
        <v>100</v>
      </c>
    </row>
    <row r="500" spans="6:7" x14ac:dyDescent="0.2">
      <c r="F500" s="4">
        <v>489</v>
      </c>
      <c r="G500" s="62">
        <f t="shared" si="7"/>
        <v>100</v>
      </c>
    </row>
    <row r="501" spans="6:7" x14ac:dyDescent="0.2">
      <c r="F501" s="4">
        <v>490</v>
      </c>
      <c r="G501" s="62">
        <f t="shared" si="7"/>
        <v>100</v>
      </c>
    </row>
    <row r="502" spans="6:7" x14ac:dyDescent="0.2">
      <c r="F502" s="4">
        <v>491</v>
      </c>
      <c r="G502" s="62">
        <f t="shared" si="7"/>
        <v>100</v>
      </c>
    </row>
    <row r="503" spans="6:7" x14ac:dyDescent="0.2">
      <c r="F503" s="4">
        <v>492</v>
      </c>
      <c r="G503" s="62">
        <f t="shared" si="7"/>
        <v>100</v>
      </c>
    </row>
    <row r="504" spans="6:7" x14ac:dyDescent="0.2">
      <c r="F504" s="4">
        <v>493</v>
      </c>
      <c r="G504" s="62">
        <f t="shared" si="7"/>
        <v>100</v>
      </c>
    </row>
    <row r="505" spans="6:7" x14ac:dyDescent="0.2">
      <c r="F505" s="4">
        <v>494</v>
      </c>
      <c r="G505" s="62">
        <f t="shared" si="7"/>
        <v>100</v>
      </c>
    </row>
    <row r="506" spans="6:7" x14ac:dyDescent="0.2">
      <c r="F506" s="4">
        <v>495</v>
      </c>
      <c r="G506" s="62">
        <f t="shared" si="7"/>
        <v>100</v>
      </c>
    </row>
    <row r="507" spans="6:7" x14ac:dyDescent="0.2">
      <c r="F507" s="4">
        <v>496</v>
      </c>
      <c r="G507" s="62">
        <f t="shared" si="7"/>
        <v>100</v>
      </c>
    </row>
    <row r="508" spans="6:7" x14ac:dyDescent="0.2">
      <c r="F508" s="4">
        <v>497</v>
      </c>
      <c r="G508" s="62">
        <f t="shared" si="7"/>
        <v>100</v>
      </c>
    </row>
    <row r="509" spans="6:7" x14ac:dyDescent="0.2">
      <c r="F509" s="4">
        <v>498</v>
      </c>
      <c r="G509" s="62">
        <f t="shared" si="7"/>
        <v>100</v>
      </c>
    </row>
    <row r="510" spans="6:7" x14ac:dyDescent="0.2">
      <c r="F510" s="4">
        <v>499</v>
      </c>
      <c r="G510" s="62">
        <f t="shared" si="7"/>
        <v>100</v>
      </c>
    </row>
    <row r="511" spans="6:7" x14ac:dyDescent="0.2">
      <c r="F511" s="4">
        <v>500</v>
      </c>
      <c r="G511" s="62">
        <f t="shared" si="7"/>
        <v>100</v>
      </c>
    </row>
    <row r="512" spans="6:7" x14ac:dyDescent="0.2">
      <c r="F512" s="4">
        <v>501</v>
      </c>
      <c r="G512" s="62">
        <f t="shared" si="7"/>
        <v>100</v>
      </c>
    </row>
    <row r="513" spans="6:7" x14ac:dyDescent="0.2">
      <c r="F513" s="4">
        <v>502</v>
      </c>
      <c r="G513" s="62">
        <f t="shared" si="7"/>
        <v>100</v>
      </c>
    </row>
    <row r="514" spans="6:7" x14ac:dyDescent="0.2">
      <c r="F514" s="4">
        <v>503</v>
      </c>
      <c r="G514" s="62">
        <f t="shared" si="7"/>
        <v>100</v>
      </c>
    </row>
    <row r="515" spans="6:7" x14ac:dyDescent="0.2">
      <c r="F515" s="4">
        <v>504</v>
      </c>
      <c r="G515" s="62">
        <f t="shared" si="7"/>
        <v>100</v>
      </c>
    </row>
    <row r="516" spans="6:7" x14ac:dyDescent="0.2">
      <c r="F516" s="4">
        <v>505</v>
      </c>
      <c r="G516" s="62">
        <f t="shared" si="7"/>
        <v>100</v>
      </c>
    </row>
    <row r="517" spans="6:7" x14ac:dyDescent="0.2">
      <c r="F517" s="4">
        <v>506</v>
      </c>
      <c r="G517" s="62">
        <f t="shared" si="7"/>
        <v>100</v>
      </c>
    </row>
    <row r="518" spans="6:7" x14ac:dyDescent="0.2">
      <c r="F518" s="4">
        <v>507</v>
      </c>
      <c r="G518" s="62">
        <f t="shared" si="7"/>
        <v>100</v>
      </c>
    </row>
    <row r="519" spans="6:7" x14ac:dyDescent="0.2">
      <c r="F519" s="4">
        <v>508</v>
      </c>
      <c r="G519" s="62">
        <f t="shared" si="7"/>
        <v>100</v>
      </c>
    </row>
    <row r="520" spans="6:7" x14ac:dyDescent="0.2">
      <c r="F520" s="4">
        <v>509</v>
      </c>
      <c r="G520" s="62">
        <f t="shared" si="7"/>
        <v>100</v>
      </c>
    </row>
    <row r="521" spans="6:7" x14ac:dyDescent="0.2">
      <c r="F521" s="4">
        <v>510</v>
      </c>
      <c r="G521" s="62">
        <f t="shared" si="7"/>
        <v>100</v>
      </c>
    </row>
    <row r="522" spans="6:7" x14ac:dyDescent="0.2">
      <c r="F522" s="4">
        <v>511</v>
      </c>
      <c r="G522" s="62">
        <f t="shared" si="7"/>
        <v>100</v>
      </c>
    </row>
    <row r="523" spans="6:7" x14ac:dyDescent="0.2">
      <c r="F523" s="4">
        <v>512</v>
      </c>
      <c r="G523" s="62">
        <f t="shared" si="7"/>
        <v>100</v>
      </c>
    </row>
    <row r="524" spans="6:7" x14ac:dyDescent="0.2">
      <c r="F524" s="4">
        <v>513</v>
      </c>
      <c r="G524" s="62">
        <f t="shared" ref="G524:G587" si="8">$C$13+($C$12-$C$13)* EXP((-F524)/$G$7)</f>
        <v>100</v>
      </c>
    </row>
    <row r="525" spans="6:7" x14ac:dyDescent="0.2">
      <c r="F525" s="4">
        <v>514</v>
      </c>
      <c r="G525" s="62">
        <f t="shared" si="8"/>
        <v>100</v>
      </c>
    </row>
    <row r="526" spans="6:7" x14ac:dyDescent="0.2">
      <c r="F526" s="4">
        <v>515</v>
      </c>
      <c r="G526" s="62">
        <f t="shared" si="8"/>
        <v>100</v>
      </c>
    </row>
    <row r="527" spans="6:7" x14ac:dyDescent="0.2">
      <c r="F527" s="4">
        <v>516</v>
      </c>
      <c r="G527" s="62">
        <f t="shared" si="8"/>
        <v>100</v>
      </c>
    </row>
    <row r="528" spans="6:7" x14ac:dyDescent="0.2">
      <c r="F528" s="4">
        <v>517</v>
      </c>
      <c r="G528" s="62">
        <f t="shared" si="8"/>
        <v>100</v>
      </c>
    </row>
    <row r="529" spans="6:7" x14ac:dyDescent="0.2">
      <c r="F529" s="4">
        <v>518</v>
      </c>
      <c r="G529" s="62">
        <f t="shared" si="8"/>
        <v>100</v>
      </c>
    </row>
    <row r="530" spans="6:7" x14ac:dyDescent="0.2">
      <c r="F530" s="4">
        <v>519</v>
      </c>
      <c r="G530" s="62">
        <f t="shared" si="8"/>
        <v>100</v>
      </c>
    </row>
    <row r="531" spans="6:7" x14ac:dyDescent="0.2">
      <c r="F531" s="4">
        <v>520</v>
      </c>
      <c r="G531" s="62">
        <f t="shared" si="8"/>
        <v>100</v>
      </c>
    </row>
    <row r="532" spans="6:7" x14ac:dyDescent="0.2">
      <c r="F532" s="4">
        <v>521</v>
      </c>
      <c r="G532" s="62">
        <f t="shared" si="8"/>
        <v>100</v>
      </c>
    </row>
    <row r="533" spans="6:7" x14ac:dyDescent="0.2">
      <c r="F533" s="4">
        <v>522</v>
      </c>
      <c r="G533" s="62">
        <f t="shared" si="8"/>
        <v>100</v>
      </c>
    </row>
    <row r="534" spans="6:7" x14ac:dyDescent="0.2">
      <c r="F534" s="4">
        <v>523</v>
      </c>
      <c r="G534" s="62">
        <f t="shared" si="8"/>
        <v>100</v>
      </c>
    </row>
    <row r="535" spans="6:7" x14ac:dyDescent="0.2">
      <c r="F535" s="4">
        <v>524</v>
      </c>
      <c r="G535" s="62">
        <f t="shared" si="8"/>
        <v>100</v>
      </c>
    </row>
    <row r="536" spans="6:7" x14ac:dyDescent="0.2">
      <c r="F536" s="4">
        <v>525</v>
      </c>
      <c r="G536" s="62">
        <f t="shared" si="8"/>
        <v>100</v>
      </c>
    </row>
    <row r="537" spans="6:7" x14ac:dyDescent="0.2">
      <c r="F537" s="4">
        <v>526</v>
      </c>
      <c r="G537" s="62">
        <f t="shared" si="8"/>
        <v>100</v>
      </c>
    </row>
    <row r="538" spans="6:7" x14ac:dyDescent="0.2">
      <c r="F538" s="4">
        <v>527</v>
      </c>
      <c r="G538" s="62">
        <f t="shared" si="8"/>
        <v>100</v>
      </c>
    </row>
    <row r="539" spans="6:7" x14ac:dyDescent="0.2">
      <c r="F539" s="4">
        <v>528</v>
      </c>
      <c r="G539" s="62">
        <f t="shared" si="8"/>
        <v>100</v>
      </c>
    </row>
    <row r="540" spans="6:7" x14ac:dyDescent="0.2">
      <c r="F540" s="4">
        <v>529</v>
      </c>
      <c r="G540" s="62">
        <f t="shared" si="8"/>
        <v>100</v>
      </c>
    </row>
    <row r="541" spans="6:7" x14ac:dyDescent="0.2">
      <c r="F541" s="4">
        <v>530</v>
      </c>
      <c r="G541" s="62">
        <f t="shared" si="8"/>
        <v>100</v>
      </c>
    </row>
    <row r="542" spans="6:7" x14ac:dyDescent="0.2">
      <c r="F542" s="4">
        <v>531</v>
      </c>
      <c r="G542" s="62">
        <f t="shared" si="8"/>
        <v>100</v>
      </c>
    </row>
    <row r="543" spans="6:7" x14ac:dyDescent="0.2">
      <c r="F543" s="4">
        <v>532</v>
      </c>
      <c r="G543" s="62">
        <f t="shared" si="8"/>
        <v>100</v>
      </c>
    </row>
    <row r="544" spans="6:7" x14ac:dyDescent="0.2">
      <c r="F544" s="4">
        <v>533</v>
      </c>
      <c r="G544" s="62">
        <f t="shared" si="8"/>
        <v>100</v>
      </c>
    </row>
    <row r="545" spans="6:7" x14ac:dyDescent="0.2">
      <c r="F545" s="4">
        <v>534</v>
      </c>
      <c r="G545" s="62">
        <f t="shared" si="8"/>
        <v>100</v>
      </c>
    </row>
    <row r="546" spans="6:7" x14ac:dyDescent="0.2">
      <c r="F546" s="4">
        <v>535</v>
      </c>
      <c r="G546" s="62">
        <f t="shared" si="8"/>
        <v>100</v>
      </c>
    </row>
    <row r="547" spans="6:7" x14ac:dyDescent="0.2">
      <c r="F547" s="4">
        <v>536</v>
      </c>
      <c r="G547" s="62">
        <f t="shared" si="8"/>
        <v>100</v>
      </c>
    </row>
    <row r="548" spans="6:7" x14ac:dyDescent="0.2">
      <c r="F548" s="4">
        <v>537</v>
      </c>
      <c r="G548" s="62">
        <f t="shared" si="8"/>
        <v>100</v>
      </c>
    </row>
    <row r="549" spans="6:7" x14ac:dyDescent="0.2">
      <c r="F549" s="4">
        <v>538</v>
      </c>
      <c r="G549" s="62">
        <f t="shared" si="8"/>
        <v>100</v>
      </c>
    </row>
    <row r="550" spans="6:7" x14ac:dyDescent="0.2">
      <c r="F550" s="4">
        <v>539</v>
      </c>
      <c r="G550" s="62">
        <f t="shared" si="8"/>
        <v>100</v>
      </c>
    </row>
    <row r="551" spans="6:7" x14ac:dyDescent="0.2">
      <c r="F551" s="4">
        <v>540</v>
      </c>
      <c r="G551" s="62">
        <f t="shared" si="8"/>
        <v>100</v>
      </c>
    </row>
    <row r="552" spans="6:7" x14ac:dyDescent="0.2">
      <c r="F552" s="4">
        <v>541</v>
      </c>
      <c r="G552" s="62">
        <f t="shared" si="8"/>
        <v>100</v>
      </c>
    </row>
    <row r="553" spans="6:7" x14ac:dyDescent="0.2">
      <c r="F553" s="4">
        <v>542</v>
      </c>
      <c r="G553" s="62">
        <f t="shared" si="8"/>
        <v>100</v>
      </c>
    </row>
    <row r="554" spans="6:7" x14ac:dyDescent="0.2">
      <c r="F554" s="4">
        <v>543</v>
      </c>
      <c r="G554" s="62">
        <f t="shared" si="8"/>
        <v>100</v>
      </c>
    </row>
    <row r="555" spans="6:7" x14ac:dyDescent="0.2">
      <c r="F555" s="4">
        <v>544</v>
      </c>
      <c r="G555" s="62">
        <f t="shared" si="8"/>
        <v>100</v>
      </c>
    </row>
    <row r="556" spans="6:7" x14ac:dyDescent="0.2">
      <c r="F556" s="4">
        <v>545</v>
      </c>
      <c r="G556" s="62">
        <f t="shared" si="8"/>
        <v>100</v>
      </c>
    </row>
    <row r="557" spans="6:7" x14ac:dyDescent="0.2">
      <c r="F557" s="4">
        <v>546</v>
      </c>
      <c r="G557" s="62">
        <f t="shared" si="8"/>
        <v>100</v>
      </c>
    </row>
    <row r="558" spans="6:7" x14ac:dyDescent="0.2">
      <c r="F558" s="4">
        <v>547</v>
      </c>
      <c r="G558" s="62">
        <f t="shared" si="8"/>
        <v>100</v>
      </c>
    </row>
    <row r="559" spans="6:7" x14ac:dyDescent="0.2">
      <c r="F559" s="4">
        <v>548</v>
      </c>
      <c r="G559" s="62">
        <f t="shared" si="8"/>
        <v>100</v>
      </c>
    </row>
    <row r="560" spans="6:7" x14ac:dyDescent="0.2">
      <c r="F560" s="4">
        <v>549</v>
      </c>
      <c r="G560" s="62">
        <f t="shared" si="8"/>
        <v>100</v>
      </c>
    </row>
    <row r="561" spans="6:7" x14ac:dyDescent="0.2">
      <c r="F561" s="4">
        <v>550</v>
      </c>
      <c r="G561" s="62">
        <f t="shared" si="8"/>
        <v>100</v>
      </c>
    </row>
    <row r="562" spans="6:7" x14ac:dyDescent="0.2">
      <c r="F562" s="4">
        <v>551</v>
      </c>
      <c r="G562" s="62">
        <f t="shared" si="8"/>
        <v>100</v>
      </c>
    </row>
    <row r="563" spans="6:7" x14ac:dyDescent="0.2">
      <c r="F563" s="4">
        <v>552</v>
      </c>
      <c r="G563" s="62">
        <f t="shared" si="8"/>
        <v>100</v>
      </c>
    </row>
    <row r="564" spans="6:7" x14ac:dyDescent="0.2">
      <c r="F564" s="4">
        <v>553</v>
      </c>
      <c r="G564" s="62">
        <f t="shared" si="8"/>
        <v>100</v>
      </c>
    </row>
    <row r="565" spans="6:7" x14ac:dyDescent="0.2">
      <c r="F565" s="4">
        <v>554</v>
      </c>
      <c r="G565" s="62">
        <f t="shared" si="8"/>
        <v>100</v>
      </c>
    </row>
    <row r="566" spans="6:7" x14ac:dyDescent="0.2">
      <c r="F566" s="4">
        <v>555</v>
      </c>
      <c r="G566" s="62">
        <f t="shared" si="8"/>
        <v>100</v>
      </c>
    </row>
    <row r="567" spans="6:7" x14ac:dyDescent="0.2">
      <c r="F567" s="4">
        <v>556</v>
      </c>
      <c r="G567" s="62">
        <f t="shared" si="8"/>
        <v>100</v>
      </c>
    </row>
    <row r="568" spans="6:7" x14ac:dyDescent="0.2">
      <c r="F568" s="4">
        <v>557</v>
      </c>
      <c r="G568" s="62">
        <f t="shared" si="8"/>
        <v>100</v>
      </c>
    </row>
    <row r="569" spans="6:7" x14ac:dyDescent="0.2">
      <c r="F569" s="4">
        <v>558</v>
      </c>
      <c r="G569" s="62">
        <f t="shared" si="8"/>
        <v>100</v>
      </c>
    </row>
    <row r="570" spans="6:7" x14ac:dyDescent="0.2">
      <c r="F570" s="4">
        <v>559</v>
      </c>
      <c r="G570" s="62">
        <f t="shared" si="8"/>
        <v>100</v>
      </c>
    </row>
    <row r="571" spans="6:7" x14ac:dyDescent="0.2">
      <c r="F571" s="4">
        <v>560</v>
      </c>
      <c r="G571" s="62">
        <f t="shared" si="8"/>
        <v>100</v>
      </c>
    </row>
    <row r="572" spans="6:7" x14ac:dyDescent="0.2">
      <c r="F572" s="4">
        <v>561</v>
      </c>
      <c r="G572" s="62">
        <f t="shared" si="8"/>
        <v>100</v>
      </c>
    </row>
    <row r="573" spans="6:7" x14ac:dyDescent="0.2">
      <c r="F573" s="4">
        <v>562</v>
      </c>
      <c r="G573" s="62">
        <f t="shared" si="8"/>
        <v>100</v>
      </c>
    </row>
    <row r="574" spans="6:7" x14ac:dyDescent="0.2">
      <c r="F574" s="4">
        <v>563</v>
      </c>
      <c r="G574" s="62">
        <f t="shared" si="8"/>
        <v>100</v>
      </c>
    </row>
    <row r="575" spans="6:7" x14ac:dyDescent="0.2">
      <c r="F575" s="4">
        <v>564</v>
      </c>
      <c r="G575" s="62">
        <f t="shared" si="8"/>
        <v>100</v>
      </c>
    </row>
    <row r="576" spans="6:7" x14ac:dyDescent="0.2">
      <c r="F576" s="4">
        <v>565</v>
      </c>
      <c r="G576" s="62">
        <f t="shared" si="8"/>
        <v>100</v>
      </c>
    </row>
    <row r="577" spans="6:7" x14ac:dyDescent="0.2">
      <c r="F577" s="4">
        <v>566</v>
      </c>
      <c r="G577" s="62">
        <f t="shared" si="8"/>
        <v>100</v>
      </c>
    </row>
    <row r="578" spans="6:7" x14ac:dyDescent="0.2">
      <c r="F578" s="4">
        <v>567</v>
      </c>
      <c r="G578" s="62">
        <f t="shared" si="8"/>
        <v>100</v>
      </c>
    </row>
    <row r="579" spans="6:7" x14ac:dyDescent="0.2">
      <c r="F579" s="4">
        <v>568</v>
      </c>
      <c r="G579" s="62">
        <f t="shared" si="8"/>
        <v>100</v>
      </c>
    </row>
    <row r="580" spans="6:7" x14ac:dyDescent="0.2">
      <c r="F580" s="4">
        <v>569</v>
      </c>
      <c r="G580" s="62">
        <f t="shared" si="8"/>
        <v>100</v>
      </c>
    </row>
    <row r="581" spans="6:7" x14ac:dyDescent="0.2">
      <c r="F581" s="4">
        <v>570</v>
      </c>
      <c r="G581" s="62">
        <f t="shared" si="8"/>
        <v>100</v>
      </c>
    </row>
    <row r="582" spans="6:7" x14ac:dyDescent="0.2">
      <c r="F582" s="4">
        <v>571</v>
      </c>
      <c r="G582" s="62">
        <f t="shared" si="8"/>
        <v>100</v>
      </c>
    </row>
    <row r="583" spans="6:7" x14ac:dyDescent="0.2">
      <c r="F583" s="4">
        <v>572</v>
      </c>
      <c r="G583" s="62">
        <f t="shared" si="8"/>
        <v>100</v>
      </c>
    </row>
    <row r="584" spans="6:7" x14ac:dyDescent="0.2">
      <c r="F584" s="4">
        <v>573</v>
      </c>
      <c r="G584" s="62">
        <f t="shared" si="8"/>
        <v>100</v>
      </c>
    </row>
    <row r="585" spans="6:7" x14ac:dyDescent="0.2">
      <c r="F585" s="4">
        <v>574</v>
      </c>
      <c r="G585" s="62">
        <f t="shared" si="8"/>
        <v>100</v>
      </c>
    </row>
    <row r="586" spans="6:7" x14ac:dyDescent="0.2">
      <c r="F586" s="4">
        <v>575</v>
      </c>
      <c r="G586" s="62">
        <f t="shared" si="8"/>
        <v>100</v>
      </c>
    </row>
    <row r="587" spans="6:7" x14ac:dyDescent="0.2">
      <c r="F587" s="4">
        <v>576</v>
      </c>
      <c r="G587" s="62">
        <f t="shared" si="8"/>
        <v>100</v>
      </c>
    </row>
    <row r="588" spans="6:7" x14ac:dyDescent="0.2">
      <c r="F588" s="4">
        <v>577</v>
      </c>
      <c r="G588" s="62">
        <f t="shared" ref="G588:G611" si="9">$C$13+($C$12-$C$13)* EXP((-F588)/$G$7)</f>
        <v>100</v>
      </c>
    </row>
    <row r="589" spans="6:7" x14ac:dyDescent="0.2">
      <c r="F589" s="4">
        <v>578</v>
      </c>
      <c r="G589" s="62">
        <f t="shared" si="9"/>
        <v>100</v>
      </c>
    </row>
    <row r="590" spans="6:7" x14ac:dyDescent="0.2">
      <c r="F590" s="4">
        <v>579</v>
      </c>
      <c r="G590" s="62">
        <f t="shared" si="9"/>
        <v>100</v>
      </c>
    </row>
    <row r="591" spans="6:7" x14ac:dyDescent="0.2">
      <c r="F591" s="4">
        <v>580</v>
      </c>
      <c r="G591" s="62">
        <f t="shared" si="9"/>
        <v>100</v>
      </c>
    </row>
    <row r="592" spans="6:7" x14ac:dyDescent="0.2">
      <c r="F592" s="4">
        <v>581</v>
      </c>
      <c r="G592" s="62">
        <f t="shared" si="9"/>
        <v>100</v>
      </c>
    </row>
    <row r="593" spans="6:7" x14ac:dyDescent="0.2">
      <c r="F593" s="4">
        <v>582</v>
      </c>
      <c r="G593" s="62">
        <f t="shared" si="9"/>
        <v>100</v>
      </c>
    </row>
    <row r="594" spans="6:7" x14ac:dyDescent="0.2">
      <c r="F594" s="4">
        <v>583</v>
      </c>
      <c r="G594" s="62">
        <f t="shared" si="9"/>
        <v>100</v>
      </c>
    </row>
    <row r="595" spans="6:7" x14ac:dyDescent="0.2">
      <c r="F595" s="4">
        <v>584</v>
      </c>
      <c r="G595" s="62">
        <f t="shared" si="9"/>
        <v>100</v>
      </c>
    </row>
    <row r="596" spans="6:7" x14ac:dyDescent="0.2">
      <c r="F596" s="4">
        <v>585</v>
      </c>
      <c r="G596" s="62">
        <f t="shared" si="9"/>
        <v>100</v>
      </c>
    </row>
    <row r="597" spans="6:7" x14ac:dyDescent="0.2">
      <c r="F597" s="4">
        <v>586</v>
      </c>
      <c r="G597" s="62">
        <f t="shared" si="9"/>
        <v>100</v>
      </c>
    </row>
    <row r="598" spans="6:7" x14ac:dyDescent="0.2">
      <c r="F598" s="4">
        <v>587</v>
      </c>
      <c r="G598" s="62">
        <f t="shared" si="9"/>
        <v>100</v>
      </c>
    </row>
    <row r="599" spans="6:7" x14ac:dyDescent="0.2">
      <c r="F599" s="4">
        <v>588</v>
      </c>
      <c r="G599" s="62">
        <f t="shared" si="9"/>
        <v>100</v>
      </c>
    </row>
    <row r="600" spans="6:7" x14ac:dyDescent="0.2">
      <c r="F600" s="4">
        <v>589</v>
      </c>
      <c r="G600" s="62">
        <f t="shared" si="9"/>
        <v>100</v>
      </c>
    </row>
    <row r="601" spans="6:7" x14ac:dyDescent="0.2">
      <c r="F601" s="4">
        <v>590</v>
      </c>
      <c r="G601" s="62">
        <f t="shared" si="9"/>
        <v>100</v>
      </c>
    </row>
    <row r="602" spans="6:7" x14ac:dyDescent="0.2">
      <c r="F602" s="4">
        <v>591</v>
      </c>
      <c r="G602" s="62">
        <f t="shared" si="9"/>
        <v>100</v>
      </c>
    </row>
    <row r="603" spans="6:7" x14ac:dyDescent="0.2">
      <c r="F603" s="4">
        <v>592</v>
      </c>
      <c r="G603" s="62">
        <f t="shared" si="9"/>
        <v>100</v>
      </c>
    </row>
    <row r="604" spans="6:7" x14ac:dyDescent="0.2">
      <c r="F604" s="4">
        <v>593</v>
      </c>
      <c r="G604" s="62">
        <f t="shared" si="9"/>
        <v>100</v>
      </c>
    </row>
    <row r="605" spans="6:7" x14ac:dyDescent="0.2">
      <c r="F605" s="4">
        <v>594</v>
      </c>
      <c r="G605" s="62">
        <f t="shared" si="9"/>
        <v>100</v>
      </c>
    </row>
    <row r="606" spans="6:7" x14ac:dyDescent="0.2">
      <c r="F606" s="4">
        <v>595</v>
      </c>
      <c r="G606" s="62">
        <f t="shared" si="9"/>
        <v>100</v>
      </c>
    </row>
    <row r="607" spans="6:7" x14ac:dyDescent="0.2">
      <c r="F607" s="4">
        <v>596</v>
      </c>
      <c r="G607" s="62">
        <f t="shared" si="9"/>
        <v>100</v>
      </c>
    </row>
    <row r="608" spans="6:7" x14ac:dyDescent="0.2">
      <c r="F608" s="4">
        <v>597</v>
      </c>
      <c r="G608" s="62">
        <f t="shared" si="9"/>
        <v>100</v>
      </c>
    </row>
    <row r="609" spans="6:7" x14ac:dyDescent="0.2">
      <c r="F609" s="4">
        <v>598</v>
      </c>
      <c r="G609" s="62">
        <f t="shared" si="9"/>
        <v>100</v>
      </c>
    </row>
    <row r="610" spans="6:7" x14ac:dyDescent="0.2">
      <c r="F610" s="4">
        <v>599</v>
      </c>
      <c r="G610" s="62">
        <f t="shared" si="9"/>
        <v>100</v>
      </c>
    </row>
    <row r="611" spans="6:7" x14ac:dyDescent="0.2">
      <c r="F611" s="10">
        <v>600</v>
      </c>
      <c r="G611" s="27">
        <f t="shared" si="9"/>
        <v>100</v>
      </c>
    </row>
  </sheetData>
  <mergeCells count="3">
    <mergeCell ref="B2:D2"/>
    <mergeCell ref="F2:H2"/>
    <mergeCell ref="B10:C10"/>
  </mergeCells>
  <dataValidations count="1">
    <dataValidation type="list" allowBlank="1" showInputMessage="1" showErrorMessage="1" sqref="F4" xr:uid="{2CE117D7-931E-4347-BF2E-6ABBE870E0D8}">
      <formula1>"Aluminum, Copper, Gold, Nickel, Steel"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2.11</vt:lpstr>
      <vt:lpstr>2.12</vt:lpstr>
      <vt:lpstr>2.17</vt:lpstr>
      <vt:lpstr>2.18</vt:lpstr>
      <vt:lpstr>2.20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2025-09-02T18:23:51Z</dcterms:created>
  <dcterms:modified xsi:type="dcterms:W3CDTF">2025-09-13T23:20:29Z</dcterms:modified>
</cp:coreProperties>
</file>