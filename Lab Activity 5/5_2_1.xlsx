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Lab Activity 5/"/>
    </mc:Choice>
  </mc:AlternateContent>
  <xr:revisionPtr revIDLastSave="0" documentId="8_{0A217CBF-D3D4-4491-9CEF-AA67D17B96F2}" xr6:coauthVersionLast="47" xr6:coauthVersionMax="47" xr10:uidLastSave="{00000000-0000-0000-0000-000000000000}"/>
  <bookViews>
    <workbookView xWindow="14415" yWindow="0" windowWidth="14145" windowHeight="15585" activeTab="1" xr2:uid="{DD98E0FB-16BE-423F-BE45-4126AD82230D}"/>
  </bookViews>
  <sheets>
    <sheet name="5.2.1" sheetId="1" r:id="rId1"/>
    <sheet name="5.2.1_Chart" sheetId="2" r:id="rId2"/>
  </sheets>
  <definedNames>
    <definedName name="_xlnm._FilterDatabase" localSheetId="0" hidden="1">'5.2.1'!$A$7:$B$7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8" i="1"/>
  <c r="B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9" i="1"/>
  <c r="B10" i="1"/>
  <c r="B11" i="1"/>
  <c r="B12" i="1"/>
  <c r="B13" i="1"/>
  <c r="B14" i="1"/>
  <c r="B15" i="1"/>
  <c r="B16" i="1"/>
  <c r="B17" i="1"/>
  <c r="B18" i="1"/>
</calcChain>
</file>

<file path=xl/sharedStrings.xml><?xml version="1.0" encoding="utf-8"?>
<sst xmlns="http://schemas.openxmlformats.org/spreadsheetml/2006/main" count="17" uniqueCount="9">
  <si>
    <t>Initial displacement</t>
  </si>
  <si>
    <t>in</t>
  </si>
  <si>
    <t>rad/s</t>
  </si>
  <si>
    <t>unitless</t>
  </si>
  <si>
    <t>Natural Frequency (w)</t>
  </si>
  <si>
    <t>Damping ratio (L)</t>
  </si>
  <si>
    <t>Damping Frequency (wd)</t>
  </si>
  <si>
    <t>Time t, s</t>
  </si>
  <si>
    <t>y,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</si>
</sst>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Spring-Mass-Damper System</a:t>
            </a:r>
          </a:p>
        </c:rich>
      </c:tx>
      <c:layout>
        <c:manualLayout>
          <c:xMode val="edge"/>
          <c:yMode val="edge"/>
          <c:x val="0.35388988354144918"/>
          <c:y val="1.21174649881592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Damping Ratio = 0.1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'5.2.1'!$A$8:$A$58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'5.2.1'!$B$8:$B$58</c:f>
              <c:numCache>
                <c:formatCode>0.00</c:formatCode>
                <c:ptCount val="51"/>
                <c:pt idx="0">
                  <c:v>3</c:v>
                </c:pt>
                <c:pt idx="1">
                  <c:v>2.4504387013939111</c:v>
                </c:pt>
                <c:pt idx="2">
                  <c:v>1.0866096245609125</c:v>
                </c:pt>
                <c:pt idx="3">
                  <c:v>-0.50608185910108627</c:v>
                </c:pt>
                <c:pt idx="4">
                  <c:v>-1.7292191741073084</c:v>
                </c:pt>
                <c:pt idx="5">
                  <c:v>-2.1876017441729179</c:v>
                </c:pt>
                <c:pt idx="6">
                  <c:v>-1.807043401677499</c:v>
                </c:pt>
                <c:pt idx="7">
                  <c:v>-0.8230977417136417</c:v>
                </c:pt>
                <c:pt idx="8">
                  <c:v>0.34000981357014881</c:v>
                </c:pt>
                <c:pt idx="9">
                  <c:v>1.243849024341416</c:v>
                </c:pt>
                <c:pt idx="10">
                  <c:v>1.5947552803594387</c:v>
                </c:pt>
                <c:pt idx="11">
                  <c:v>1.3320994081115833</c:v>
                </c:pt>
                <c:pt idx="12">
                  <c:v>0.62253361015690223</c:v>
                </c:pt>
                <c:pt idx="13">
                  <c:v>-0.2266242363660933</c:v>
                </c:pt>
                <c:pt idx="14">
                  <c:v>-0.89424886576704388</c:v>
                </c:pt>
                <c:pt idx="15">
                  <c:v>-1.1622461373426018</c:v>
                </c:pt>
                <c:pt idx="16">
                  <c:v>-0.98163676053750359</c:v>
                </c:pt>
                <c:pt idx="17">
                  <c:v>-0.4701673561770886</c:v>
                </c:pt>
                <c:pt idx="18">
                  <c:v>0.1496120810966988</c:v>
                </c:pt>
                <c:pt idx="19">
                  <c:v>0.64256172875145778</c:v>
                </c:pt>
                <c:pt idx="20">
                  <c:v>0.84679809365391201</c:v>
                </c:pt>
                <c:pt idx="21">
                  <c:v>0.72312566554125735</c:v>
                </c:pt>
                <c:pt idx="22">
                  <c:v>0.35461776782118509</c:v>
                </c:pt>
                <c:pt idx="23">
                  <c:v>-9.7619006148225856E-2</c:v>
                </c:pt>
                <c:pt idx="24">
                  <c:v>-0.46145480145009488</c:v>
                </c:pt>
                <c:pt idx="25">
                  <c:v>-0.61679192573902408</c:v>
                </c:pt>
                <c:pt idx="26">
                  <c:v>-0.53251032256170505</c:v>
                </c:pt>
                <c:pt idx="27">
                  <c:v>-0.26713013912879202</c:v>
                </c:pt>
                <c:pt idx="28">
                  <c:v>6.2763758428673766E-2</c:v>
                </c:pt>
                <c:pt idx="29">
                  <c:v>0.33120197933381601</c:v>
                </c:pt>
                <c:pt idx="30">
                  <c:v>0.44913180788477108</c:v>
                </c:pt>
                <c:pt idx="31">
                  <c:v>0.39200891572072594</c:v>
                </c:pt>
                <c:pt idx="32">
                  <c:v>0.20098894764143982</c:v>
                </c:pt>
                <c:pt idx="33">
                  <c:v>-3.9592448119798562E-2</c:v>
                </c:pt>
                <c:pt idx="34">
                  <c:v>-0.23757301536224379</c:v>
                </c:pt>
                <c:pt idx="35">
                  <c:v>-0.3269523579936256</c:v>
                </c:pt>
                <c:pt idx="36">
                  <c:v>-0.28848268320302567</c:v>
                </c:pt>
                <c:pt idx="37">
                  <c:v>-0.15105592941446327</c:v>
                </c:pt>
                <c:pt idx="38">
                  <c:v>2.4343725684053748E-2</c:v>
                </c:pt>
                <c:pt idx="39">
                  <c:v>0.17030683351971765</c:v>
                </c:pt>
                <c:pt idx="40">
                  <c:v>0.23794127626162248</c:v>
                </c:pt>
                <c:pt idx="41">
                  <c:v>0.21222744563508578</c:v>
                </c:pt>
                <c:pt idx="42">
                  <c:v>0.11340871130747568</c:v>
                </c:pt>
                <c:pt idx="43">
                  <c:v>-1.4433384991162182E-2</c:v>
                </c:pt>
                <c:pt idx="44">
                  <c:v>-0.12200776084043095</c:v>
                </c:pt>
                <c:pt idx="45">
                  <c:v>-0.17311264728385489</c:v>
                </c:pt>
                <c:pt idx="46">
                  <c:v>-0.15607858535879507</c:v>
                </c:pt>
                <c:pt idx="47">
                  <c:v>-8.5059421675024782E-2</c:v>
                </c:pt>
                <c:pt idx="48">
                  <c:v>8.0935967340291775E-3</c:v>
                </c:pt>
                <c:pt idx="49">
                  <c:v>8.7347830902731002E-2</c:v>
                </c:pt>
                <c:pt idx="50">
                  <c:v>0.12591007183247246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A-4FCF-B61D-21F3D22B150E}"/>
            </c:ext>
          </c:extLst>
        </c:ser>
        <c:ser>
          <c:idx val="1"/>
          <c:order val="1"/>
          <c:tx>
            <c:v>Damping Ratio = 0.2</c:v>
          </c:tx>
          <c:spPr>
            <a:ln w="381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xVal>
            <c:numRef>
              <c:f>'5.2.1'!$A$8:$A$58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'5.2.1'!$F$8:$F$57</c:f>
              <c:numCache>
                <c:formatCode>0.00</c:formatCode>
                <c:ptCount val="50"/>
                <c:pt idx="0">
                  <c:v>3</c:v>
                </c:pt>
                <c:pt idx="1">
                  <c:v>2.4712788087995552</c:v>
                </c:pt>
                <c:pt idx="2">
                  <c:v>1.2243416061711738</c:v>
                </c:pt>
                <c:pt idx="3">
                  <c:v>-0.15962035041260347</c:v>
                </c:pt>
                <c:pt idx="4">
                  <c:v>-1.1821827878364006</c:v>
                </c:pt>
                <c:pt idx="5">
                  <c:v>-1.5778452124350353</c:v>
                </c:pt>
                <c:pt idx="6">
                  <c:v>-1.3520697527364243</c:v>
                </c:pt>
                <c:pt idx="7">
                  <c:v>-0.71924434248544167</c:v>
                </c:pt>
                <c:pt idx="8">
                  <c:v>1.6221887619429508E-2</c:v>
                </c:pt>
                <c:pt idx="9">
                  <c:v>0.58283120896036611</c:v>
                </c:pt>
                <c:pt idx="10">
                  <c:v>0.8264934947199597</c:v>
                </c:pt>
                <c:pt idx="11">
                  <c:v>0.73655164433528897</c:v>
                </c:pt>
                <c:pt idx="12">
                  <c:v>0.41752404082410666</c:v>
                </c:pt>
                <c:pt idx="13">
                  <c:v>2.8177374846310482E-2</c:v>
                </c:pt>
                <c:pt idx="14">
                  <c:v>-0.28421063853987644</c:v>
                </c:pt>
                <c:pt idx="15">
                  <c:v>-0.43110111355441028</c:v>
                </c:pt>
                <c:pt idx="16">
                  <c:v>-0.39958555923072159</c:v>
                </c:pt>
                <c:pt idx="17">
                  <c:v>-0.23995086072928551</c:v>
                </c:pt>
                <c:pt idx="18">
                  <c:v>-3.4636984601035169E-2</c:v>
                </c:pt>
                <c:pt idx="19">
                  <c:v>0.13678235069313274</c:v>
                </c:pt>
                <c:pt idx="20">
                  <c:v>0.22387082658303797</c:v>
                </c:pt>
                <c:pt idx="21">
                  <c:v>0.21591217340616836</c:v>
                </c:pt>
                <c:pt idx="22">
                  <c:v>0.13671073309544493</c:v>
                </c:pt>
                <c:pt idx="23">
                  <c:v>2.8873850081504979E-2</c:v>
                </c:pt>
                <c:pt idx="24">
                  <c:v>-6.4772567141876736E-2</c:v>
                </c:pt>
                <c:pt idx="25">
                  <c:v>-0.11571417075461311</c:v>
                </c:pt>
                <c:pt idx="26">
                  <c:v>-0.11621122294079893</c:v>
                </c:pt>
                <c:pt idx="27">
                  <c:v>-7.7301056086257272E-2</c:v>
                </c:pt>
                <c:pt idx="28">
                  <c:v>-2.0894789506237906E-2</c:v>
                </c:pt>
                <c:pt idx="29">
                  <c:v>3.0047341470774612E-2</c:v>
                </c:pt>
                <c:pt idx="30">
                  <c:v>5.9513029078371929E-2</c:v>
                </c:pt>
                <c:pt idx="31">
                  <c:v>6.2309087027793773E-2</c:v>
                </c:pt>
                <c:pt idx="32">
                  <c:v>4.3414239393327753E-2</c:v>
                </c:pt>
                <c:pt idx="33">
                  <c:v>1.4036046653492649E-2</c:v>
                </c:pt>
                <c:pt idx="34">
                  <c:v>-1.3562560639165762E-2</c:v>
                </c:pt>
                <c:pt idx="35">
                  <c:v>-3.0444422696366137E-2</c:v>
                </c:pt>
                <c:pt idx="36">
                  <c:v>-3.3281485547698116E-2</c:v>
                </c:pt>
                <c:pt idx="37">
                  <c:v>-2.4234213259204371E-2</c:v>
                </c:pt>
                <c:pt idx="38">
                  <c:v>-9.0018451703744191E-3</c:v>
                </c:pt>
                <c:pt idx="39">
                  <c:v>5.8908805526427339E-3</c:v>
                </c:pt>
                <c:pt idx="40">
                  <c:v>1.5483436838932101E-2</c:v>
                </c:pt>
                <c:pt idx="41">
                  <c:v>1.7709445938918968E-2</c:v>
                </c:pt>
                <c:pt idx="42">
                  <c:v>1.345253804365888E-2</c:v>
                </c:pt>
                <c:pt idx="43">
                  <c:v>5.5922571159846566E-3</c:v>
                </c:pt>
                <c:pt idx="44">
                  <c:v>-2.4130152072070052E-3</c:v>
                </c:pt>
                <c:pt idx="45">
                  <c:v>-7.8240899106793091E-3</c:v>
                </c:pt>
                <c:pt idx="46">
                  <c:v>-9.3874703758970723E-3</c:v>
                </c:pt>
                <c:pt idx="47">
                  <c:v>-7.4292004385275653E-3</c:v>
                </c:pt>
                <c:pt idx="48">
                  <c:v>-3.3937443123083651E-3</c:v>
                </c:pt>
                <c:pt idx="49">
                  <c:v>8.928970805424176E-4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FA-4FCF-B61D-21F3D22B1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624031"/>
        <c:axId val="827624511"/>
      </c:scatterChart>
      <c:valAx>
        <c:axId val="82762403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24511"/>
        <c:crosses val="autoZero"/>
        <c:crossBetween val="midCat"/>
      </c:valAx>
      <c:valAx>
        <c:axId val="8276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Displacement, inches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624031"/>
        <c:crosses val="autoZero"/>
        <c:crossBetween val="midCat"/>
      </c:valAx>
      <c:spPr>
        <a:noFill/>
        <a:ln w="381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8222B4-CC73-42BE-9BDF-5DCC5B2E39AE}">
  <sheetPr/>
  <sheetViews>
    <sheetView tabSelected="1" zoomScale="9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694" cy="6288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831C5-A0D0-CBDC-D278-953DA2E2D3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7553-ADB6-4801-83F5-C76A324FAE22}">
  <dimension ref="A1:G58"/>
  <sheetViews>
    <sheetView workbookViewId="0"/>
  </sheetViews>
  <sheetFormatPr defaultRowHeight="15" x14ac:dyDescent="0.25"/>
  <cols>
    <col min="1" max="1" width="23.28515625" bestFit="1" customWidth="1"/>
    <col min="2" max="2" width="7.85546875" customWidth="1"/>
    <col min="3" max="4" width="8" bestFit="1" customWidth="1"/>
    <col min="5" max="5" width="23.28515625" bestFit="1" customWidth="1"/>
  </cols>
  <sheetData>
    <row r="1" spans="1:7" x14ac:dyDescent="0.25">
      <c r="A1" s="2" t="s">
        <v>0</v>
      </c>
      <c r="B1" s="3">
        <v>3</v>
      </c>
      <c r="C1" s="2" t="s">
        <v>1</v>
      </c>
      <c r="E1" s="2" t="s">
        <v>0</v>
      </c>
      <c r="F1" s="3">
        <v>3</v>
      </c>
      <c r="G1" s="2" t="s">
        <v>1</v>
      </c>
    </row>
    <row r="2" spans="1:7" x14ac:dyDescent="0.25">
      <c r="A2" s="2" t="s">
        <v>4</v>
      </c>
      <c r="B2" s="3">
        <v>6.28</v>
      </c>
      <c r="C2" s="2" t="s">
        <v>2</v>
      </c>
      <c r="E2" s="2" t="s">
        <v>4</v>
      </c>
      <c r="F2" s="3">
        <v>6.28</v>
      </c>
      <c r="G2" s="2" t="s">
        <v>2</v>
      </c>
    </row>
    <row r="3" spans="1:7" x14ac:dyDescent="0.25">
      <c r="A3" s="2" t="s">
        <v>5</v>
      </c>
      <c r="B3" s="3">
        <v>0.1</v>
      </c>
      <c r="C3" s="2" t="s">
        <v>3</v>
      </c>
      <c r="E3" s="2" t="s">
        <v>5</v>
      </c>
      <c r="F3" s="3">
        <v>0.2</v>
      </c>
      <c r="G3" s="2" t="s">
        <v>3</v>
      </c>
    </row>
    <row r="4" spans="1:7" x14ac:dyDescent="0.25">
      <c r="A4" s="2"/>
      <c r="B4" s="2"/>
      <c r="C4" s="2"/>
      <c r="E4" s="2"/>
      <c r="F4" s="2"/>
      <c r="G4" s="2"/>
    </row>
    <row r="5" spans="1:7" x14ac:dyDescent="0.25">
      <c r="A5" s="2" t="s">
        <v>6</v>
      </c>
      <c r="B5" s="2">
        <v>6.25</v>
      </c>
      <c r="C5" s="2"/>
      <c r="E5" s="2" t="s">
        <v>6</v>
      </c>
      <c r="F5" s="2">
        <v>6.16</v>
      </c>
      <c r="G5" s="2"/>
    </row>
    <row r="6" spans="1:7" x14ac:dyDescent="0.25">
      <c r="A6" s="2"/>
      <c r="B6" s="2"/>
      <c r="C6" s="2"/>
    </row>
    <row r="7" spans="1:7" x14ac:dyDescent="0.25">
      <c r="A7" s="2" t="s">
        <v>7</v>
      </c>
      <c r="B7" s="2" t="s">
        <v>8</v>
      </c>
      <c r="C7" s="2"/>
      <c r="E7" s="2"/>
      <c r="F7" s="2" t="s">
        <v>8</v>
      </c>
    </row>
    <row r="8" spans="1:7" x14ac:dyDescent="0.25">
      <c r="A8" s="2">
        <v>0</v>
      </c>
      <c r="B8" s="3">
        <f>(B$1*COS(B$5*A8)+B$1*B$3*B$2/B$5*SIN(B$5*A8))*EXP(-B$3*B$2*A8)</f>
        <v>3</v>
      </c>
      <c r="C8" s="2"/>
      <c r="F8" s="1">
        <f>($F$1*COS($F$5*A8)+$F$1*$F$3*$F$2/$F$5*SIN($F$5*A8))*EXP(-$F$3*$F$2*A8)</f>
        <v>3</v>
      </c>
    </row>
    <row r="9" spans="1:7" x14ac:dyDescent="0.25">
      <c r="A9" s="2">
        <v>0.1</v>
      </c>
      <c r="B9" s="3">
        <f t="shared" ref="B9:B58" si="0">($B$1*COS($B$5*A9)+$B$1*$B$3*$B$2/$B$5*SIN($B$5*A9))*EXP(-$B$3*$B$2*A9)</f>
        <v>2.4504387013939111</v>
      </c>
      <c r="C9" s="2"/>
      <c r="F9" s="1">
        <f t="shared" ref="F9:F57" si="1">($F$1*COS($F$5*A9)+$F$1*$F$3*$F$2/$F$5*SIN($F$5*A9))*EXP(-$F$3*$F$2*A9)</f>
        <v>2.4712788087995552</v>
      </c>
    </row>
    <row r="10" spans="1:7" x14ac:dyDescent="0.25">
      <c r="A10" s="2">
        <v>0.2</v>
      </c>
      <c r="B10" s="3">
        <f t="shared" si="0"/>
        <v>1.0866096245609125</v>
      </c>
      <c r="C10" s="2"/>
      <c r="F10" s="1">
        <f t="shared" si="1"/>
        <v>1.2243416061711738</v>
      </c>
    </row>
    <row r="11" spans="1:7" x14ac:dyDescent="0.25">
      <c r="A11" s="2">
        <v>0.3</v>
      </c>
      <c r="B11" s="3">
        <f t="shared" si="0"/>
        <v>-0.50608185910108627</v>
      </c>
      <c r="C11" s="2"/>
      <c r="F11" s="1">
        <f t="shared" si="1"/>
        <v>-0.15962035041260347</v>
      </c>
    </row>
    <row r="12" spans="1:7" x14ac:dyDescent="0.25">
      <c r="A12" s="2">
        <v>0.4</v>
      </c>
      <c r="B12" s="3">
        <f t="shared" si="0"/>
        <v>-1.7292191741073084</v>
      </c>
      <c r="C12" s="2"/>
      <c r="F12" s="1">
        <f t="shared" si="1"/>
        <v>-1.1821827878364006</v>
      </c>
    </row>
    <row r="13" spans="1:7" x14ac:dyDescent="0.25">
      <c r="A13" s="2">
        <v>0.5</v>
      </c>
      <c r="B13" s="3">
        <f t="shared" si="0"/>
        <v>-2.1876017441729179</v>
      </c>
      <c r="C13" s="2"/>
      <c r="F13" s="1">
        <f t="shared" si="1"/>
        <v>-1.5778452124350353</v>
      </c>
    </row>
    <row r="14" spans="1:7" x14ac:dyDescent="0.25">
      <c r="A14" s="2">
        <v>0.6</v>
      </c>
      <c r="B14" s="3">
        <f t="shared" si="0"/>
        <v>-1.807043401677499</v>
      </c>
      <c r="C14" s="2"/>
      <c r="F14" s="1">
        <f t="shared" si="1"/>
        <v>-1.3520697527364243</v>
      </c>
    </row>
    <row r="15" spans="1:7" x14ac:dyDescent="0.25">
      <c r="A15" s="2">
        <v>0.7</v>
      </c>
      <c r="B15" s="3">
        <f t="shared" si="0"/>
        <v>-0.8230977417136417</v>
      </c>
      <c r="C15" s="2"/>
      <c r="F15" s="1">
        <f t="shared" si="1"/>
        <v>-0.71924434248544167</v>
      </c>
    </row>
    <row r="16" spans="1:7" x14ac:dyDescent="0.25">
      <c r="A16" s="2">
        <v>0.8</v>
      </c>
      <c r="B16" s="3">
        <f t="shared" si="0"/>
        <v>0.34000981357014881</v>
      </c>
      <c r="C16" s="2"/>
      <c r="F16" s="1">
        <f t="shared" si="1"/>
        <v>1.6221887619429508E-2</v>
      </c>
    </row>
    <row r="17" spans="1:6" x14ac:dyDescent="0.25">
      <c r="A17" s="2">
        <v>0.9</v>
      </c>
      <c r="B17" s="3">
        <f t="shared" si="0"/>
        <v>1.243849024341416</v>
      </c>
      <c r="C17" s="2"/>
      <c r="F17" s="1">
        <f t="shared" si="1"/>
        <v>0.58283120896036611</v>
      </c>
    </row>
    <row r="18" spans="1:6" x14ac:dyDescent="0.25">
      <c r="A18" s="2">
        <v>1</v>
      </c>
      <c r="B18" s="3">
        <f t="shared" si="0"/>
        <v>1.5947552803594387</v>
      </c>
      <c r="C18" s="2"/>
      <c r="F18" s="1">
        <f t="shared" si="1"/>
        <v>0.8264934947199597</v>
      </c>
    </row>
    <row r="19" spans="1:6" x14ac:dyDescent="0.25">
      <c r="A19" s="2">
        <v>1.1000000000000001</v>
      </c>
      <c r="B19" s="3">
        <f t="shared" si="0"/>
        <v>1.3320994081115833</v>
      </c>
      <c r="C19" s="2"/>
      <c r="F19" s="1">
        <f t="shared" si="1"/>
        <v>0.73655164433528897</v>
      </c>
    </row>
    <row r="20" spans="1:6" x14ac:dyDescent="0.25">
      <c r="A20" s="2">
        <v>1.2</v>
      </c>
      <c r="B20" s="3">
        <f t="shared" si="0"/>
        <v>0.62253361015690223</v>
      </c>
      <c r="C20" s="2"/>
      <c r="F20" s="1">
        <f t="shared" si="1"/>
        <v>0.41752404082410666</v>
      </c>
    </row>
    <row r="21" spans="1:6" x14ac:dyDescent="0.25">
      <c r="A21" s="2">
        <v>1.3</v>
      </c>
      <c r="B21" s="3">
        <f t="shared" si="0"/>
        <v>-0.2266242363660933</v>
      </c>
      <c r="C21" s="2"/>
      <c r="F21" s="1">
        <f t="shared" si="1"/>
        <v>2.8177374846310482E-2</v>
      </c>
    </row>
    <row r="22" spans="1:6" x14ac:dyDescent="0.25">
      <c r="A22" s="2">
        <v>1.4</v>
      </c>
      <c r="B22" s="3">
        <f t="shared" si="0"/>
        <v>-0.89424886576704388</v>
      </c>
      <c r="C22" s="2"/>
      <c r="F22" s="1">
        <f t="shared" si="1"/>
        <v>-0.28421063853987644</v>
      </c>
    </row>
    <row r="23" spans="1:6" x14ac:dyDescent="0.25">
      <c r="A23" s="2">
        <v>1.5</v>
      </c>
      <c r="B23" s="3">
        <f t="shared" si="0"/>
        <v>-1.1622461373426018</v>
      </c>
      <c r="C23" s="2"/>
      <c r="F23" s="1">
        <f t="shared" si="1"/>
        <v>-0.43110111355441028</v>
      </c>
    </row>
    <row r="24" spans="1:6" x14ac:dyDescent="0.25">
      <c r="A24" s="2">
        <v>1.6</v>
      </c>
      <c r="B24" s="3">
        <f t="shared" si="0"/>
        <v>-0.98163676053750359</v>
      </c>
      <c r="C24" s="2"/>
      <c r="F24" s="1">
        <f t="shared" si="1"/>
        <v>-0.39958555923072159</v>
      </c>
    </row>
    <row r="25" spans="1:6" x14ac:dyDescent="0.25">
      <c r="A25" s="2">
        <v>1.7</v>
      </c>
      <c r="B25" s="3">
        <f t="shared" si="0"/>
        <v>-0.4701673561770886</v>
      </c>
      <c r="C25" s="2"/>
      <c r="F25" s="1">
        <f t="shared" si="1"/>
        <v>-0.23995086072928551</v>
      </c>
    </row>
    <row r="26" spans="1:6" x14ac:dyDescent="0.25">
      <c r="A26" s="2">
        <v>1.8</v>
      </c>
      <c r="B26" s="3">
        <f t="shared" si="0"/>
        <v>0.1496120810966988</v>
      </c>
      <c r="C26" s="2"/>
      <c r="F26" s="1">
        <f t="shared" si="1"/>
        <v>-3.4636984601035169E-2</v>
      </c>
    </row>
    <row r="27" spans="1:6" x14ac:dyDescent="0.25">
      <c r="A27" s="2">
        <v>1.9</v>
      </c>
      <c r="B27" s="3">
        <f t="shared" si="0"/>
        <v>0.64256172875145778</v>
      </c>
      <c r="C27" s="2"/>
      <c r="F27" s="1">
        <f t="shared" si="1"/>
        <v>0.13678235069313274</v>
      </c>
    </row>
    <row r="28" spans="1:6" x14ac:dyDescent="0.25">
      <c r="A28" s="2">
        <v>2</v>
      </c>
      <c r="B28" s="3">
        <f t="shared" si="0"/>
        <v>0.84679809365391201</v>
      </c>
      <c r="C28" s="2"/>
      <c r="F28" s="1">
        <f t="shared" si="1"/>
        <v>0.22387082658303797</v>
      </c>
    </row>
    <row r="29" spans="1:6" x14ac:dyDescent="0.25">
      <c r="A29" s="2">
        <v>2.1</v>
      </c>
      <c r="B29" s="3">
        <f t="shared" si="0"/>
        <v>0.72312566554125735</v>
      </c>
      <c r="C29" s="2"/>
      <c r="F29" s="1">
        <f t="shared" si="1"/>
        <v>0.21591217340616836</v>
      </c>
    </row>
    <row r="30" spans="1:6" x14ac:dyDescent="0.25">
      <c r="A30" s="2">
        <v>2.2000000000000002</v>
      </c>
      <c r="B30" s="3">
        <f t="shared" si="0"/>
        <v>0.35461776782118509</v>
      </c>
      <c r="C30" s="2"/>
      <c r="F30" s="1">
        <f t="shared" si="1"/>
        <v>0.13671073309544493</v>
      </c>
    </row>
    <row r="31" spans="1:6" x14ac:dyDescent="0.25">
      <c r="A31" s="2">
        <v>2.2999999999999998</v>
      </c>
      <c r="B31" s="3">
        <f t="shared" si="0"/>
        <v>-9.7619006148225856E-2</v>
      </c>
      <c r="C31" s="2"/>
      <c r="F31" s="1">
        <f t="shared" si="1"/>
        <v>2.8873850081504979E-2</v>
      </c>
    </row>
    <row r="32" spans="1:6" x14ac:dyDescent="0.25">
      <c r="A32" s="2">
        <v>2.4</v>
      </c>
      <c r="B32" s="3">
        <f t="shared" si="0"/>
        <v>-0.46145480145009488</v>
      </c>
      <c r="C32" s="2"/>
      <c r="F32" s="1">
        <f t="shared" si="1"/>
        <v>-6.4772567141876736E-2</v>
      </c>
    </row>
    <row r="33" spans="1:6" x14ac:dyDescent="0.25">
      <c r="A33" s="2">
        <v>2.5</v>
      </c>
      <c r="B33" s="3">
        <f t="shared" si="0"/>
        <v>-0.61679192573902408</v>
      </c>
      <c r="C33" s="2"/>
      <c r="F33" s="1">
        <f t="shared" si="1"/>
        <v>-0.11571417075461311</v>
      </c>
    </row>
    <row r="34" spans="1:6" x14ac:dyDescent="0.25">
      <c r="A34" s="2">
        <v>2.6</v>
      </c>
      <c r="B34" s="3">
        <f t="shared" si="0"/>
        <v>-0.53251032256170505</v>
      </c>
      <c r="C34" s="2"/>
      <c r="F34" s="1">
        <f t="shared" si="1"/>
        <v>-0.11621122294079893</v>
      </c>
    </row>
    <row r="35" spans="1:6" x14ac:dyDescent="0.25">
      <c r="A35" s="2">
        <v>2.7</v>
      </c>
      <c r="B35" s="3">
        <f t="shared" si="0"/>
        <v>-0.26713013912879202</v>
      </c>
      <c r="C35" s="2"/>
      <c r="F35" s="1">
        <f t="shared" si="1"/>
        <v>-7.7301056086257272E-2</v>
      </c>
    </row>
    <row r="36" spans="1:6" x14ac:dyDescent="0.25">
      <c r="A36" s="2">
        <v>2.8</v>
      </c>
      <c r="B36" s="3">
        <f t="shared" si="0"/>
        <v>6.2763758428673766E-2</v>
      </c>
      <c r="C36" s="2"/>
      <c r="F36" s="1">
        <f t="shared" si="1"/>
        <v>-2.0894789506237906E-2</v>
      </c>
    </row>
    <row r="37" spans="1:6" x14ac:dyDescent="0.25">
      <c r="A37" s="2">
        <v>2.9</v>
      </c>
      <c r="B37" s="3">
        <f t="shared" si="0"/>
        <v>0.33120197933381601</v>
      </c>
      <c r="C37" s="2"/>
      <c r="F37" s="1">
        <f t="shared" si="1"/>
        <v>3.0047341470774612E-2</v>
      </c>
    </row>
    <row r="38" spans="1:6" x14ac:dyDescent="0.25">
      <c r="A38" s="2">
        <v>3</v>
      </c>
      <c r="B38" s="3">
        <f t="shared" si="0"/>
        <v>0.44913180788477108</v>
      </c>
      <c r="C38" s="2"/>
      <c r="F38" s="1">
        <f t="shared" si="1"/>
        <v>5.9513029078371929E-2</v>
      </c>
    </row>
    <row r="39" spans="1:6" x14ac:dyDescent="0.25">
      <c r="A39" s="2">
        <v>3.1</v>
      </c>
      <c r="B39" s="3">
        <f t="shared" si="0"/>
        <v>0.39200891572072594</v>
      </c>
      <c r="F39" s="1">
        <f t="shared" si="1"/>
        <v>6.2309087027793773E-2</v>
      </c>
    </row>
    <row r="40" spans="1:6" x14ac:dyDescent="0.25">
      <c r="A40" s="2">
        <v>3.2</v>
      </c>
      <c r="B40" s="3">
        <f t="shared" si="0"/>
        <v>0.20098894764143982</v>
      </c>
      <c r="F40" s="1">
        <f t="shared" si="1"/>
        <v>4.3414239393327753E-2</v>
      </c>
    </row>
    <row r="41" spans="1:6" x14ac:dyDescent="0.25">
      <c r="A41" s="2">
        <v>3.3</v>
      </c>
      <c r="B41" s="3">
        <f t="shared" si="0"/>
        <v>-3.9592448119798562E-2</v>
      </c>
      <c r="F41" s="1">
        <f t="shared" si="1"/>
        <v>1.4036046653492649E-2</v>
      </c>
    </row>
    <row r="42" spans="1:6" x14ac:dyDescent="0.25">
      <c r="A42" s="2">
        <v>3.4</v>
      </c>
      <c r="B42" s="3">
        <f t="shared" si="0"/>
        <v>-0.23757301536224379</v>
      </c>
      <c r="F42" s="1">
        <f t="shared" si="1"/>
        <v>-1.3562560639165762E-2</v>
      </c>
    </row>
    <row r="43" spans="1:6" x14ac:dyDescent="0.25">
      <c r="A43" s="2">
        <v>3.5</v>
      </c>
      <c r="B43" s="3">
        <f t="shared" si="0"/>
        <v>-0.3269523579936256</v>
      </c>
      <c r="F43" s="1">
        <f t="shared" si="1"/>
        <v>-3.0444422696366137E-2</v>
      </c>
    </row>
    <row r="44" spans="1:6" x14ac:dyDescent="0.25">
      <c r="A44" s="2">
        <v>3.6</v>
      </c>
      <c r="B44" s="3">
        <f t="shared" si="0"/>
        <v>-0.28848268320302567</v>
      </c>
      <c r="F44" s="1">
        <f t="shared" si="1"/>
        <v>-3.3281485547698116E-2</v>
      </c>
    </row>
    <row r="45" spans="1:6" x14ac:dyDescent="0.25">
      <c r="A45" s="2">
        <v>3.7</v>
      </c>
      <c r="B45" s="3">
        <f t="shared" si="0"/>
        <v>-0.15105592941446327</v>
      </c>
      <c r="F45" s="1">
        <f t="shared" si="1"/>
        <v>-2.4234213259204371E-2</v>
      </c>
    </row>
    <row r="46" spans="1:6" x14ac:dyDescent="0.25">
      <c r="A46" s="2">
        <v>3.8</v>
      </c>
      <c r="B46" s="3">
        <f t="shared" si="0"/>
        <v>2.4343725684053748E-2</v>
      </c>
      <c r="F46" s="1">
        <f t="shared" si="1"/>
        <v>-9.0018451703744191E-3</v>
      </c>
    </row>
    <row r="47" spans="1:6" x14ac:dyDescent="0.25">
      <c r="A47" s="2">
        <v>3.9</v>
      </c>
      <c r="B47" s="3">
        <f t="shared" si="0"/>
        <v>0.17030683351971765</v>
      </c>
      <c r="F47" s="1">
        <f t="shared" si="1"/>
        <v>5.8908805526427339E-3</v>
      </c>
    </row>
    <row r="48" spans="1:6" x14ac:dyDescent="0.25">
      <c r="A48" s="2">
        <v>4</v>
      </c>
      <c r="B48" s="3">
        <f t="shared" si="0"/>
        <v>0.23794127626162248</v>
      </c>
      <c r="F48" s="1">
        <f t="shared" si="1"/>
        <v>1.5483436838932101E-2</v>
      </c>
    </row>
    <row r="49" spans="1:6" x14ac:dyDescent="0.25">
      <c r="A49" s="2">
        <v>4.0999999999999996</v>
      </c>
      <c r="B49" s="3">
        <f t="shared" si="0"/>
        <v>0.21222744563508578</v>
      </c>
      <c r="F49" s="1">
        <f t="shared" si="1"/>
        <v>1.7709445938918968E-2</v>
      </c>
    </row>
    <row r="50" spans="1:6" x14ac:dyDescent="0.25">
      <c r="A50" s="2">
        <v>4.2</v>
      </c>
      <c r="B50" s="3">
        <f t="shared" si="0"/>
        <v>0.11340871130747568</v>
      </c>
      <c r="F50" s="1">
        <f t="shared" si="1"/>
        <v>1.345253804365888E-2</v>
      </c>
    </row>
    <row r="51" spans="1:6" x14ac:dyDescent="0.25">
      <c r="A51" s="2">
        <v>4.3</v>
      </c>
      <c r="B51" s="3">
        <f t="shared" si="0"/>
        <v>-1.4433384991162182E-2</v>
      </c>
      <c r="F51" s="1">
        <f t="shared" si="1"/>
        <v>5.5922571159846566E-3</v>
      </c>
    </row>
    <row r="52" spans="1:6" x14ac:dyDescent="0.25">
      <c r="A52" s="2">
        <v>4.4000000000000004</v>
      </c>
      <c r="B52" s="3">
        <f t="shared" si="0"/>
        <v>-0.12200776084043095</v>
      </c>
      <c r="F52" s="1">
        <f t="shared" si="1"/>
        <v>-2.4130152072070052E-3</v>
      </c>
    </row>
    <row r="53" spans="1:6" x14ac:dyDescent="0.25">
      <c r="A53" s="2">
        <v>4.5</v>
      </c>
      <c r="B53" s="3">
        <f t="shared" si="0"/>
        <v>-0.17311264728385489</v>
      </c>
      <c r="F53" s="1">
        <f t="shared" si="1"/>
        <v>-7.8240899106793091E-3</v>
      </c>
    </row>
    <row r="54" spans="1:6" x14ac:dyDescent="0.25">
      <c r="A54" s="2">
        <v>4.5999999999999996</v>
      </c>
      <c r="B54" s="3">
        <f t="shared" si="0"/>
        <v>-0.15607858535879507</v>
      </c>
      <c r="F54" s="1">
        <f t="shared" si="1"/>
        <v>-9.3874703758970723E-3</v>
      </c>
    </row>
    <row r="55" spans="1:6" x14ac:dyDescent="0.25">
      <c r="A55" s="2">
        <v>4.7</v>
      </c>
      <c r="B55" s="3">
        <f t="shared" si="0"/>
        <v>-8.5059421675024782E-2</v>
      </c>
      <c r="F55" s="1">
        <f t="shared" si="1"/>
        <v>-7.4292004385275653E-3</v>
      </c>
    </row>
    <row r="56" spans="1:6" x14ac:dyDescent="0.25">
      <c r="A56" s="2">
        <v>4.8</v>
      </c>
      <c r="B56" s="3">
        <f t="shared" si="0"/>
        <v>8.0935967340291775E-3</v>
      </c>
      <c r="F56" s="1">
        <f t="shared" si="1"/>
        <v>-3.3937443123083651E-3</v>
      </c>
    </row>
    <row r="57" spans="1:6" x14ac:dyDescent="0.25">
      <c r="A57" s="2">
        <v>4.9000000000000004</v>
      </c>
      <c r="B57" s="3">
        <f t="shared" si="0"/>
        <v>8.7347830902731002E-2</v>
      </c>
      <c r="F57" s="1">
        <f t="shared" si="1"/>
        <v>8.928970805424176E-4</v>
      </c>
    </row>
    <row r="58" spans="1:6" x14ac:dyDescent="0.25">
      <c r="A58" s="2">
        <v>5</v>
      </c>
      <c r="B58" s="3">
        <f t="shared" si="0"/>
        <v>0.12591007183247246</v>
      </c>
    </row>
  </sheetData>
  <sortState xmlns:xlrd2="http://schemas.microsoft.com/office/spreadsheetml/2017/richdata2" ref="A7:B7">
    <sortCondition ref="A8: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5.2.1</vt:lpstr>
      <vt:lpstr>5.2.1_Chart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J. Isaias</dc:creator>
  <cp:lastModifiedBy>Brian J. Isaias</cp:lastModifiedBy>
  <dcterms:created xsi:type="dcterms:W3CDTF">2025-10-08T03:24:47Z</dcterms:created>
  <dcterms:modified xsi:type="dcterms:W3CDTF">2025-10-08T04:16:03Z</dcterms:modified>
</cp:coreProperties>
</file>