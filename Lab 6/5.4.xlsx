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411L/Lab 6/"/>
    </mc:Choice>
  </mc:AlternateContent>
  <xr:revisionPtr revIDLastSave="113" documentId="8_{3AC50E9E-9A2B-154B-A54F-1465245F64BB}" xr6:coauthVersionLast="47" xr6:coauthVersionMax="47" xr10:uidLastSave="{F0E185BF-8E27-4733-BCC4-9F4789FD6572}"/>
  <bookViews>
    <workbookView xWindow="14295" yWindow="0" windowWidth="14610" windowHeight="15585" xr2:uid="{7D4AF248-251B-D648-8DEE-F9F0C11AF614}"/>
  </bookViews>
  <sheets>
    <sheet name="5.4 Data" sheetId="1" r:id="rId1"/>
    <sheet name="5.4 Pie Chart" sheetId="2" r:id="rId2"/>
    <sheet name="5.4 Bar Graph" sheetId="3" r:id="rId3"/>
    <sheet name="5.4 Bar Graph (sorted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 s="1"/>
  <c r="H6" i="1" s="1"/>
  <c r="H7" i="1" s="1"/>
  <c r="H3" i="1"/>
  <c r="H2" i="1"/>
  <c r="G8" i="1"/>
</calcChain>
</file>

<file path=xl/sharedStrings.xml><?xml version="1.0" encoding="utf-8"?>
<sst xmlns="http://schemas.openxmlformats.org/spreadsheetml/2006/main" count="16" uniqueCount="9">
  <si>
    <t>Direct Labor</t>
  </si>
  <si>
    <t>Benefits</t>
  </si>
  <si>
    <t>Materials</t>
  </si>
  <si>
    <t>Equipment</t>
  </si>
  <si>
    <t>Energy</t>
  </si>
  <si>
    <t>Overhead</t>
  </si>
  <si>
    <t>Current Year</t>
  </si>
  <si>
    <t>Previous Year</t>
  </si>
  <si>
    <t>Cumulative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</si>
</sst>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0" borderId="0" xfId="0" applyNumberForma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1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355825988950434"/>
          <c:y val="0.11689927266682332"/>
          <c:w val="0.54052418420024106"/>
          <c:h val="0.74449555830273395"/>
        </c:manualLayout>
      </c:layout>
      <c:pie3DChart>
        <c:varyColors val="1"/>
        <c:ser>
          <c:idx val="0"/>
          <c:order val="0"/>
          <c:spPr>
            <a:ln>
              <a:solidFill>
                <a:schemeClr val="tx1"/>
              </a:solidFill>
            </a:ln>
          </c:spPr>
          <c:explosion val="10"/>
          <c:dPt>
            <c:idx val="0"/>
            <c:bubble3D val="0"/>
            <c:spPr>
              <a:solidFill>
                <a:schemeClr val="accent3">
                  <a:shade val="50000"/>
                </a:schemeClr>
              </a:solidFill>
              <a:ln w="2540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9F0-7A43-8453-27AB6E7DBACB}"/>
              </c:ext>
            </c:extLst>
          </c:dPt>
          <c:dPt>
            <c:idx val="1"/>
            <c:bubble3D val="0"/>
            <c:spPr>
              <a:solidFill>
                <a:schemeClr val="accent3">
                  <a:shade val="70000"/>
                </a:schemeClr>
              </a:solidFill>
              <a:ln w="2540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9F0-7A43-8453-27AB6E7DBACB}"/>
              </c:ext>
            </c:extLst>
          </c:dPt>
          <c:dPt>
            <c:idx val="2"/>
            <c:bubble3D val="0"/>
            <c:spPr>
              <a:solidFill>
                <a:schemeClr val="accent3">
                  <a:shade val="90000"/>
                </a:schemeClr>
              </a:solidFill>
              <a:ln w="2540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9F0-7A43-8453-27AB6E7DBACB}"/>
              </c:ext>
            </c:extLst>
          </c:dPt>
          <c:dPt>
            <c:idx val="3"/>
            <c:bubble3D val="0"/>
            <c:spPr>
              <a:solidFill>
                <a:schemeClr val="accent3">
                  <a:tint val="90000"/>
                </a:schemeClr>
              </a:solidFill>
              <a:ln w="2540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9F0-7A43-8453-27AB6E7DBACB}"/>
              </c:ext>
            </c:extLst>
          </c:dPt>
          <c:dPt>
            <c:idx val="4"/>
            <c:bubble3D val="0"/>
            <c:spPr>
              <a:solidFill>
                <a:schemeClr val="accent3">
                  <a:tint val="70000"/>
                </a:schemeClr>
              </a:solidFill>
              <a:ln w="2540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9F0-7A43-8453-27AB6E7DBACB}"/>
              </c:ext>
            </c:extLst>
          </c:dPt>
          <c:dPt>
            <c:idx val="5"/>
            <c:bubble3D val="0"/>
            <c:spPr>
              <a:solidFill>
                <a:schemeClr val="accent3">
                  <a:tint val="50000"/>
                </a:schemeClr>
              </a:solidFill>
              <a:ln w="2540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9F0-7A43-8453-27AB6E7DBACB}"/>
              </c:ext>
            </c:extLst>
          </c:dPt>
          <c:dLbls>
            <c:dLbl>
              <c:idx val="0"/>
              <c:layout>
                <c:manualLayout>
                  <c:x val="4.3835613916622364E-2"/>
                  <c:y val="2.08644167095990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680364279704353"/>
                      <c:h val="0.2535848855674829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9F0-7A43-8453-27AB6E7DBACB}"/>
                </c:ext>
              </c:extLst>
            </c:dLbl>
            <c:dLbl>
              <c:idx val="1"/>
              <c:layout>
                <c:manualLayout>
                  <c:x val="5.796598379370891E-2"/>
                  <c:y val="-5.88896303558951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F0-7A43-8453-27AB6E7DBACB}"/>
                </c:ext>
              </c:extLst>
            </c:dLbl>
            <c:dLbl>
              <c:idx val="2"/>
              <c:layout>
                <c:manualLayout>
                  <c:x val="2.9223742611081543E-3"/>
                  <c:y val="1.50892673628075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14611733240615"/>
                      <c:h val="5.08176060363408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9F0-7A43-8453-27AB6E7DBACB}"/>
                </c:ext>
              </c:extLst>
            </c:dLbl>
            <c:dLbl>
              <c:idx val="4"/>
              <c:layout>
                <c:manualLayout>
                  <c:x val="-6.9947890845409505E-2"/>
                  <c:y val="-0.1235108306038068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F0-7A43-8453-27AB6E7DBACB}"/>
                </c:ext>
              </c:extLst>
            </c:dLbl>
            <c:dLbl>
              <c:idx val="5"/>
              <c:layout>
                <c:manualLayout>
                  <c:x val="2.8706574410149257E-2"/>
                  <c:y val="-6.40557766310482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F0-7A43-8453-27AB6E7DBA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'5.4 Data'!$B$2:$B$7</c:f>
              <c:strCache>
                <c:ptCount val="6"/>
                <c:pt idx="0">
                  <c:v>Direct Labor</c:v>
                </c:pt>
                <c:pt idx="1">
                  <c:v>Benefits</c:v>
                </c:pt>
                <c:pt idx="2">
                  <c:v>Materials</c:v>
                </c:pt>
                <c:pt idx="3">
                  <c:v>Equipment</c:v>
                </c:pt>
                <c:pt idx="4">
                  <c:v>Energy</c:v>
                </c:pt>
                <c:pt idx="5">
                  <c:v>Overhead</c:v>
                </c:pt>
              </c:strCache>
            </c:strRef>
          </c:cat>
          <c:val>
            <c:numRef>
              <c:f>'5.4 Data'!$D$2:$D$7</c:f>
              <c:numCache>
                <c:formatCode>_("$"* #,##0.00_);_("$"* \(#,##0.00\);_("$"* "-"??_);_(@_)</c:formatCode>
                <c:ptCount val="6"/>
                <c:pt idx="0">
                  <c:v>16.8</c:v>
                </c:pt>
                <c:pt idx="1">
                  <c:v>9.25</c:v>
                </c:pt>
                <c:pt idx="2">
                  <c:v>3.8</c:v>
                </c:pt>
                <c:pt idx="3">
                  <c:v>2.2000000000000002</c:v>
                </c:pt>
                <c:pt idx="4">
                  <c:v>1.45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F0-7A43-8453-27AB6E7DB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Components for Product ABC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Previous Year</c:v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cat>
            <c:strRef>
              <c:f>'5.4 Data'!$B$2:$B$7</c:f>
              <c:strCache>
                <c:ptCount val="6"/>
                <c:pt idx="0">
                  <c:v>Direct Labor</c:v>
                </c:pt>
                <c:pt idx="1">
                  <c:v>Benefits</c:v>
                </c:pt>
                <c:pt idx="2">
                  <c:v>Materials</c:v>
                </c:pt>
                <c:pt idx="3">
                  <c:v>Equipment</c:v>
                </c:pt>
                <c:pt idx="4">
                  <c:v>Energy</c:v>
                </c:pt>
                <c:pt idx="5">
                  <c:v>Overhead</c:v>
                </c:pt>
              </c:strCache>
            </c:strRef>
          </c:cat>
          <c:val>
            <c:numRef>
              <c:f>'5.4 Data'!$C$2:$C$7</c:f>
              <c:numCache>
                <c:formatCode>_("$"* #,##0.00_);_("$"* \(#,##0.00\);_("$"* "-"??_);_(@_)</c:formatCode>
                <c:ptCount val="6"/>
                <c:pt idx="0">
                  <c:v>16</c:v>
                </c:pt>
                <c:pt idx="1">
                  <c:v>6.4</c:v>
                </c:pt>
                <c:pt idx="2">
                  <c:v>3.75</c:v>
                </c:pt>
                <c:pt idx="3">
                  <c:v>2.2000000000000002</c:v>
                </c:pt>
                <c:pt idx="4">
                  <c:v>1.25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BE-4DC6-AFF1-83DD6C30E335}"/>
            </c:ext>
          </c:extLst>
        </c:ser>
        <c:ser>
          <c:idx val="1"/>
          <c:order val="1"/>
          <c:tx>
            <c:v>Current Year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cat>
            <c:strRef>
              <c:f>'5.4 Data'!$B$2:$B$7</c:f>
              <c:strCache>
                <c:ptCount val="6"/>
                <c:pt idx="0">
                  <c:v>Direct Labor</c:v>
                </c:pt>
                <c:pt idx="1">
                  <c:v>Benefits</c:v>
                </c:pt>
                <c:pt idx="2">
                  <c:v>Materials</c:v>
                </c:pt>
                <c:pt idx="3">
                  <c:v>Equipment</c:v>
                </c:pt>
                <c:pt idx="4">
                  <c:v>Energy</c:v>
                </c:pt>
                <c:pt idx="5">
                  <c:v>Overhead</c:v>
                </c:pt>
              </c:strCache>
            </c:strRef>
          </c:cat>
          <c:val>
            <c:numRef>
              <c:f>'5.4 Data'!$D$2:$D$7</c:f>
              <c:numCache>
                <c:formatCode>_("$"* #,##0.00_);_("$"* \(#,##0.00\);_("$"* "-"??_);_(@_)</c:formatCode>
                <c:ptCount val="6"/>
                <c:pt idx="0">
                  <c:v>16.8</c:v>
                </c:pt>
                <c:pt idx="1">
                  <c:v>9.25</c:v>
                </c:pt>
                <c:pt idx="2">
                  <c:v>3.8</c:v>
                </c:pt>
                <c:pt idx="3">
                  <c:v>2.2000000000000002</c:v>
                </c:pt>
                <c:pt idx="4">
                  <c:v>1.45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BE-4DC6-AFF1-83DD6C30E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6551392"/>
        <c:axId val="1774892432"/>
        <c:axId val="0"/>
      </c:bar3DChart>
      <c:catAx>
        <c:axId val="145655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892432"/>
        <c:crosses val="autoZero"/>
        <c:auto val="1"/>
        <c:lblAlgn val="ctr"/>
        <c:lblOffset val="100"/>
        <c:noMultiLvlLbl val="0"/>
      </c:catAx>
      <c:valAx>
        <c:axId val="177489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55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'5.4 Data'!$F$2:$F$7</c:f>
              <c:strCache>
                <c:ptCount val="6"/>
                <c:pt idx="0">
                  <c:v>Direct Labor</c:v>
                </c:pt>
                <c:pt idx="1">
                  <c:v>Overhead</c:v>
                </c:pt>
                <c:pt idx="2">
                  <c:v>Benefits</c:v>
                </c:pt>
                <c:pt idx="3">
                  <c:v>Materials</c:v>
                </c:pt>
                <c:pt idx="4">
                  <c:v>Equipment</c:v>
                </c:pt>
                <c:pt idx="5">
                  <c:v>Energy</c:v>
                </c:pt>
              </c:strCache>
            </c:strRef>
          </c:cat>
          <c:val>
            <c:numRef>
              <c:f>'5.4 Data'!$G$2:$G$7</c:f>
              <c:numCache>
                <c:formatCode>_("$"* #,##0.00_);_("$"* \(#,##0.00\);_("$"* "-"??_);_(@_)</c:formatCode>
                <c:ptCount val="6"/>
                <c:pt idx="0">
                  <c:v>16.8</c:v>
                </c:pt>
                <c:pt idx="1">
                  <c:v>16</c:v>
                </c:pt>
                <c:pt idx="2">
                  <c:v>9.25</c:v>
                </c:pt>
                <c:pt idx="3">
                  <c:v>3.8</c:v>
                </c:pt>
                <c:pt idx="4">
                  <c:v>2.2000000000000002</c:v>
                </c:pt>
                <c:pt idx="5">
                  <c:v>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D-4D33-BFB5-4B126057D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1588143"/>
        <c:axId val="491593423"/>
      </c:barChart>
      <c:lineChart>
        <c:grouping val="standard"/>
        <c:varyColors val="0"/>
        <c:ser>
          <c:idx val="1"/>
          <c:order val="1"/>
          <c:tx>
            <c:strRef>
              <c:f>'5.4 Data'!$H$1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'5.4 Data'!$F$2:$F$7</c:f>
              <c:strCache>
                <c:ptCount val="6"/>
                <c:pt idx="0">
                  <c:v>Direct Labor</c:v>
                </c:pt>
                <c:pt idx="1">
                  <c:v>Overhead</c:v>
                </c:pt>
                <c:pt idx="2">
                  <c:v>Benefits</c:v>
                </c:pt>
                <c:pt idx="3">
                  <c:v>Materials</c:v>
                </c:pt>
                <c:pt idx="4">
                  <c:v>Equipment</c:v>
                </c:pt>
                <c:pt idx="5">
                  <c:v>Energy</c:v>
                </c:pt>
              </c:strCache>
            </c:strRef>
          </c:cat>
          <c:val>
            <c:numRef>
              <c:f>'5.4 Data'!$H$2:$H$7</c:f>
              <c:numCache>
                <c:formatCode>0%</c:formatCode>
                <c:ptCount val="6"/>
                <c:pt idx="0">
                  <c:v>0.33939393939393941</c:v>
                </c:pt>
                <c:pt idx="1">
                  <c:v>0.66262626262626267</c:v>
                </c:pt>
                <c:pt idx="2">
                  <c:v>0.84949494949494953</c:v>
                </c:pt>
                <c:pt idx="3">
                  <c:v>0.92626262626262634</c:v>
                </c:pt>
                <c:pt idx="4">
                  <c:v>0.97070707070707074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7D-4D33-BFB5-4B126057D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647663"/>
        <c:axId val="491648143"/>
      </c:lineChart>
      <c:catAx>
        <c:axId val="49158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93423"/>
        <c:crosses val="autoZero"/>
        <c:auto val="1"/>
        <c:lblAlgn val="ctr"/>
        <c:lblOffset val="100"/>
        <c:noMultiLvlLbl val="0"/>
      </c:catAx>
      <c:valAx>
        <c:axId val="491593423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88143"/>
        <c:crosses val="autoZero"/>
        <c:crossBetween val="between"/>
      </c:valAx>
      <c:valAx>
        <c:axId val="491648143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47663"/>
        <c:crosses val="max"/>
        <c:crossBetween val="between"/>
      </c:valAx>
      <c:catAx>
        <c:axId val="4916476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16481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638DC7-807F-074A-94A6-E1BB0F252E5B}">
  <sheetPr/>
  <sheetViews>
    <sheetView zoomScale="48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6959396-B442-4D9C-A70A-3512DDE4C233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850193D-EEC4-49DA-B5CA-34B11AFE4B88}">
  <sheetPr/>
  <sheetViews>
    <sheetView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91563" cy="63103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7B50C-BFCA-BC86-84E7-4C58887B64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6680" cy="6295430"/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1AE6BFC1-8D29-F529-8DBF-E1B6E67991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5221" cy="62939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397EB2-8865-DD58-2550-D4EF94F148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D095-B8F1-5A41-90FB-3F4D182C134F}">
  <dimension ref="B1:H8"/>
  <sheetViews>
    <sheetView tabSelected="1" workbookViewId="0">
      <selection activeCell="F21" sqref="F21"/>
    </sheetView>
  </sheetViews>
  <sheetFormatPr defaultColWidth="11" defaultRowHeight="15.75" x14ac:dyDescent="0.25"/>
  <cols>
    <col min="2" max="2" width="11.125" bestFit="1" customWidth="1"/>
    <col min="3" max="3" width="11.75" bestFit="1" customWidth="1"/>
    <col min="4" max="4" width="11" bestFit="1" customWidth="1"/>
    <col min="8" max="8" width="12.125" bestFit="1" customWidth="1"/>
  </cols>
  <sheetData>
    <row r="1" spans="2:8" x14ac:dyDescent="0.25">
      <c r="C1" t="s">
        <v>7</v>
      </c>
      <c r="D1" t="s">
        <v>6</v>
      </c>
      <c r="G1" t="s">
        <v>6</v>
      </c>
      <c r="H1" t="s">
        <v>8</v>
      </c>
    </row>
    <row r="2" spans="2:8" x14ac:dyDescent="0.25">
      <c r="B2" t="s">
        <v>0</v>
      </c>
      <c r="C2" s="1">
        <v>16</v>
      </c>
      <c r="D2" s="1">
        <v>16.8</v>
      </c>
      <c r="F2" t="s">
        <v>0</v>
      </c>
      <c r="G2" s="1">
        <v>16.8</v>
      </c>
      <c r="H2" s="3">
        <f>G2/$G$8</f>
        <v>0.33939393939393941</v>
      </c>
    </row>
    <row r="3" spans="2:8" x14ac:dyDescent="0.25">
      <c r="B3" t="s">
        <v>1</v>
      </c>
      <c r="C3" s="1">
        <v>6.4</v>
      </c>
      <c r="D3" s="1">
        <v>9.25</v>
      </c>
      <c r="F3" t="s">
        <v>5</v>
      </c>
      <c r="G3" s="1">
        <v>16</v>
      </c>
      <c r="H3" s="3">
        <f>G3/$G$8+H2</f>
        <v>0.66262626262626267</v>
      </c>
    </row>
    <row r="4" spans="2:8" x14ac:dyDescent="0.25">
      <c r="B4" t="s">
        <v>2</v>
      </c>
      <c r="C4" s="1">
        <v>3.75</v>
      </c>
      <c r="D4" s="1">
        <v>3.8</v>
      </c>
      <c r="F4" t="s">
        <v>1</v>
      </c>
      <c r="G4" s="1">
        <v>9.25</v>
      </c>
      <c r="H4" s="3">
        <f t="shared" ref="H4:H7" si="0">G4/$G$8+H3</f>
        <v>0.84949494949494953</v>
      </c>
    </row>
    <row r="5" spans="2:8" x14ac:dyDescent="0.25">
      <c r="B5" t="s">
        <v>3</v>
      </c>
      <c r="C5" s="1">
        <v>2.2000000000000002</v>
      </c>
      <c r="D5" s="1">
        <v>2.2000000000000002</v>
      </c>
      <c r="F5" t="s">
        <v>2</v>
      </c>
      <c r="G5" s="1">
        <v>3.8</v>
      </c>
      <c r="H5" s="3">
        <f t="shared" si="0"/>
        <v>0.92626262626262634</v>
      </c>
    </row>
    <row r="6" spans="2:8" x14ac:dyDescent="0.25">
      <c r="B6" t="s">
        <v>4</v>
      </c>
      <c r="C6" s="1">
        <v>1.25</v>
      </c>
      <c r="D6" s="1">
        <v>1.45</v>
      </c>
      <c r="F6" t="s">
        <v>3</v>
      </c>
      <c r="G6" s="1">
        <v>2.2000000000000002</v>
      </c>
      <c r="H6" s="3">
        <f t="shared" si="0"/>
        <v>0.97070707070707074</v>
      </c>
    </row>
    <row r="7" spans="2:8" x14ac:dyDescent="0.25">
      <c r="B7" t="s">
        <v>5</v>
      </c>
      <c r="C7" s="1">
        <v>14</v>
      </c>
      <c r="D7" s="1">
        <v>16</v>
      </c>
      <c r="F7" t="s">
        <v>4</v>
      </c>
      <c r="G7" s="1">
        <v>1.45</v>
      </c>
      <c r="H7" s="3">
        <f t="shared" si="0"/>
        <v>1</v>
      </c>
    </row>
    <row r="8" spans="2:8" x14ac:dyDescent="0.25">
      <c r="G8" s="2">
        <f>SUM(G2:G7)</f>
        <v>49.5</v>
      </c>
    </row>
  </sheetData>
  <sortState xmlns:xlrd2="http://schemas.microsoft.com/office/spreadsheetml/2017/richdata2" ref="F2:G7">
    <sortCondition descending="1" ref="G2:G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5.4 Data</vt:lpstr>
      <vt:lpstr>5.4 Pie Chart</vt:lpstr>
      <vt:lpstr>5.4 Bar Graph</vt:lpstr>
      <vt:lpstr>5.4 Bar Graph (sorted)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Isaias</dc:creator>
  <cp:lastModifiedBy>Brian Isaias</cp:lastModifiedBy>
  <dcterms:created xsi:type="dcterms:W3CDTF">2025-10-15T03:36:29Z</dcterms:created>
  <dcterms:modified xsi:type="dcterms:W3CDTF">2025-10-15T04:31:00Z</dcterms:modified>
</cp:coreProperties>
</file>