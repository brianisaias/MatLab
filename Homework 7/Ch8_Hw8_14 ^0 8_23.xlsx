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4ef5049b916cec/School Documents/Fall 2025/CHE 1311 and 1411L/1311/HW/Homework 7/"/>
    </mc:Choice>
  </mc:AlternateContent>
  <xr:revisionPtr revIDLastSave="0" documentId="8_{648FB3D1-9B9B-4E63-B7DF-0E700BF91B04}" xr6:coauthVersionLast="47" xr6:coauthVersionMax="47" xr10:uidLastSave="{00000000-0000-0000-0000-000000000000}"/>
  <bookViews>
    <workbookView xWindow="2880" yWindow="2865" windowWidth="23325" windowHeight="11295" xr2:uid="{7739C6FE-6AC5-4B42-805C-EAB9C835F598}"/>
  </bookViews>
  <sheets>
    <sheet name="Ch8_Hw8_14" sheetId="1" r:id="rId1"/>
    <sheet name="Ch8_Hw8_23" sheetId="3" r:id="rId2"/>
  </sheets>
  <definedNames>
    <definedName name="solver_adj" localSheetId="1" hidden="1">Ch8_Hw8_23!$F$3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0</definedName>
    <definedName name="solver_nwt" localSheetId="1" hidden="1">1</definedName>
    <definedName name="solver_opt" localSheetId="1" hidden="1">Ch8_Hw8_23!$H$4</definedName>
    <definedName name="solver_pre" localSheetId="1" hidden="1">0.0000000000000001</definedName>
    <definedName name="solver_rbv" localSheetId="1" hidden="1">1</definedName>
    <definedName name="solver_rlx" localSheetId="1" hidden="1">2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3" l="1"/>
  <c r="F4" i="3"/>
  <c r="D18" i="1" a="1"/>
  <c r="D18" i="1" s="1"/>
  <c r="C12" i="1" a="1"/>
  <c r="C12" i="1" s="1"/>
  <c r="F7" i="3" l="1"/>
  <c r="H4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<sst xmlns="http://schemas.openxmlformats.org/spreadsheetml/2006/main" count="17" uniqueCount="17">
  <si>
    <t>A=</t>
  </si>
  <si>
    <t>A^-1=</t>
  </si>
  <si>
    <t xml:space="preserve">For </t>
  </si>
  <si>
    <t>Ax=b</t>
  </si>
  <si>
    <t>A^-1 * b=</t>
  </si>
  <si>
    <t>x=A^-1*b</t>
  </si>
  <si>
    <t>b=</t>
  </si>
  <si>
    <t xml:space="preserve">x = </t>
  </si>
  <si>
    <t>a N_2</t>
  </si>
  <si>
    <t>b O_2</t>
  </si>
  <si>
    <t>mols</t>
  </si>
  <si>
    <t>Kp</t>
  </si>
  <si>
    <t>x</t>
  </si>
  <si>
    <t>y</t>
  </si>
  <si>
    <t>Kp(eq)</t>
  </si>
  <si>
    <t>(Kp_0-Kp_1)^2</t>
  </si>
  <si>
    <t>stoic z (guess)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</si>
</sst>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0" xfId="0" applyNumberForma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8B13A-0D80-41F3-88C4-C30B4DBFAB53}">
  <dimension ref="B3:I21"/>
  <sheetViews>
    <sheetView tabSelected="1" workbookViewId="0">
      <selection activeCell="C4" sqref="C4"/>
    </sheetView>
  </sheetViews>
  <sheetFormatPr defaultRowHeight="15" x14ac:dyDescent="0.25"/>
  <cols>
    <col min="1" max="1" width="9" bestFit="1" customWidth="1"/>
    <col min="2" max="2" width="11.7109375" bestFit="1" customWidth="1"/>
  </cols>
  <sheetData>
    <row r="3" spans="2:9" x14ac:dyDescent="0.25">
      <c r="B3" s="1" t="s">
        <v>2</v>
      </c>
      <c r="C3" s="1" t="s">
        <v>3</v>
      </c>
      <c r="D3" s="1"/>
      <c r="E3" s="1"/>
      <c r="F3" s="1"/>
      <c r="G3" s="1"/>
      <c r="H3" s="1"/>
      <c r="I3" s="1"/>
    </row>
    <row r="4" spans="2:9" x14ac:dyDescent="0.25">
      <c r="B4" s="1"/>
      <c r="C4" s="1" t="s">
        <v>5</v>
      </c>
      <c r="D4" s="1"/>
      <c r="E4" s="1"/>
      <c r="F4" s="1"/>
      <c r="G4" s="1"/>
      <c r="H4" s="1"/>
      <c r="I4" s="1"/>
    </row>
    <row r="5" spans="2:9" x14ac:dyDescent="0.25">
      <c r="B5" s="1"/>
      <c r="C5" s="1"/>
      <c r="D5" s="1"/>
      <c r="E5" s="1"/>
      <c r="F5" s="1"/>
      <c r="G5" s="1"/>
      <c r="H5" s="1"/>
      <c r="I5" s="1"/>
    </row>
    <row r="6" spans="2:9" x14ac:dyDescent="0.25">
      <c r="B6" s="2"/>
      <c r="C6" s="1">
        <v>3</v>
      </c>
      <c r="D6" s="1">
        <v>1</v>
      </c>
      <c r="E6" s="1">
        <v>4</v>
      </c>
      <c r="F6" s="2">
        <v>3</v>
      </c>
      <c r="G6" s="1"/>
      <c r="H6" s="2"/>
      <c r="I6" s="2">
        <v>23</v>
      </c>
    </row>
    <row r="7" spans="2:9" x14ac:dyDescent="0.25">
      <c r="B7" s="7" t="s">
        <v>0</v>
      </c>
      <c r="C7" s="1">
        <v>3</v>
      </c>
      <c r="D7" s="1">
        <v>0</v>
      </c>
      <c r="E7" s="1">
        <v>1</v>
      </c>
      <c r="F7" s="2">
        <v>1</v>
      </c>
      <c r="G7" s="1"/>
      <c r="H7" s="7" t="s">
        <v>6</v>
      </c>
      <c r="I7" s="2">
        <v>2</v>
      </c>
    </row>
    <row r="8" spans="2:9" x14ac:dyDescent="0.25">
      <c r="B8" s="7"/>
      <c r="C8" s="1">
        <v>0</v>
      </c>
      <c r="D8" s="1">
        <v>-2</v>
      </c>
      <c r="E8" s="1">
        <v>1</v>
      </c>
      <c r="F8" s="2">
        <v>1</v>
      </c>
      <c r="G8" s="1"/>
      <c r="H8" s="7"/>
      <c r="I8" s="2">
        <v>0</v>
      </c>
    </row>
    <row r="9" spans="2:9" x14ac:dyDescent="0.25">
      <c r="B9" s="2"/>
      <c r="C9" s="1">
        <v>1</v>
      </c>
      <c r="D9" s="1">
        <v>5</v>
      </c>
      <c r="E9" s="1">
        <v>0</v>
      </c>
      <c r="F9" s="2">
        <v>-2</v>
      </c>
      <c r="G9" s="1"/>
      <c r="H9" s="2"/>
      <c r="I9" s="2">
        <v>-4</v>
      </c>
    </row>
    <row r="10" spans="2:9" x14ac:dyDescent="0.25">
      <c r="B10" s="1"/>
      <c r="C10" s="1"/>
      <c r="D10" s="1"/>
      <c r="E10" s="1"/>
      <c r="F10" s="1"/>
      <c r="G10" s="1"/>
      <c r="H10" s="1"/>
      <c r="I10" s="1"/>
    </row>
    <row r="11" spans="2:9" x14ac:dyDescent="0.25">
      <c r="B11" s="1"/>
      <c r="C11" s="1"/>
      <c r="D11" s="1"/>
      <c r="E11" s="1"/>
      <c r="F11" s="1"/>
      <c r="G11" s="1"/>
      <c r="H11" s="1"/>
      <c r="I11" s="1"/>
    </row>
    <row r="12" spans="2:9" x14ac:dyDescent="0.25">
      <c r="B12" s="2"/>
      <c r="C12" s="1" cm="1">
        <f t="array" ref="C12:F15">MINVERSE(C6:F9)</f>
        <v>-0.13793103448275854</v>
      </c>
      <c r="D12" s="1">
        <v>0.44827586206896552</v>
      </c>
      <c r="E12" s="1">
        <v>0.1034482758620691</v>
      </c>
      <c r="F12" s="2">
        <v>6.8965517241379296E-2</v>
      </c>
      <c r="G12" s="1"/>
      <c r="H12" s="1"/>
      <c r="I12" s="1"/>
    </row>
    <row r="13" spans="2:9" x14ac:dyDescent="0.25">
      <c r="B13" s="7" t="s">
        <v>1</v>
      </c>
      <c r="C13" s="1">
        <v>0.20689655172413796</v>
      </c>
      <c r="D13" s="1">
        <v>-0.17241379310344829</v>
      </c>
      <c r="E13" s="1">
        <v>-0.65517241379310365</v>
      </c>
      <c r="F13" s="2">
        <v>-0.10344827586206898</v>
      </c>
      <c r="G13" s="1"/>
      <c r="H13" s="1"/>
      <c r="I13" s="1"/>
    </row>
    <row r="14" spans="2:9" x14ac:dyDescent="0.25">
      <c r="B14" s="7"/>
      <c r="C14" s="1">
        <v>-3.4482758620689787E-2</v>
      </c>
      <c r="D14" s="1">
        <v>-0.13793103448275856</v>
      </c>
      <c r="E14" s="1">
        <v>1.2758620689655173</v>
      </c>
      <c r="F14" s="2">
        <v>0.51724137931034486</v>
      </c>
      <c r="G14" s="1"/>
      <c r="H14" s="1"/>
      <c r="I14" s="1"/>
    </row>
    <row r="15" spans="2:9" x14ac:dyDescent="0.25">
      <c r="B15" s="2"/>
      <c r="C15" s="1">
        <v>0.44827586206896564</v>
      </c>
      <c r="D15" s="1">
        <v>-0.20689655172413801</v>
      </c>
      <c r="E15" s="1">
        <v>-1.5862068965517244</v>
      </c>
      <c r="F15" s="2">
        <v>-0.72413793103448276</v>
      </c>
      <c r="G15" s="1"/>
      <c r="H15" s="1"/>
      <c r="I15" s="1"/>
    </row>
    <row r="16" spans="2:9" x14ac:dyDescent="0.25">
      <c r="B16" s="1"/>
      <c r="C16" s="1"/>
      <c r="D16" s="1"/>
      <c r="E16" s="1"/>
      <c r="F16" s="1"/>
      <c r="G16" s="1"/>
      <c r="H16" s="1"/>
      <c r="I16" s="1"/>
    </row>
    <row r="17" spans="2:9" x14ac:dyDescent="0.25">
      <c r="B17" s="1"/>
      <c r="C17" s="1"/>
      <c r="D17" s="1"/>
      <c r="E17" s="1"/>
      <c r="F17" s="1"/>
      <c r="G17" s="1"/>
      <c r="H17" s="1"/>
      <c r="I17" s="1"/>
    </row>
    <row r="18" spans="2:9" x14ac:dyDescent="0.25">
      <c r="B18" s="1"/>
      <c r="C18" s="2"/>
      <c r="D18" s="3" cm="1">
        <f t="array" ref="D18:D21">MMULT(_xlfn.ANCHORARRAY(C12),I6:I9)</f>
        <v>-2.5517241379310325</v>
      </c>
      <c r="E18" s="1"/>
      <c r="F18" s="1"/>
      <c r="G18" s="1"/>
      <c r="H18" s="1"/>
      <c r="I18" s="1"/>
    </row>
    <row r="19" spans="2:9" x14ac:dyDescent="0.25">
      <c r="B19" s="6" t="s">
        <v>4</v>
      </c>
      <c r="C19" s="7" t="s">
        <v>7</v>
      </c>
      <c r="D19" s="3">
        <v>4.8275862068965516</v>
      </c>
      <c r="E19" s="1"/>
      <c r="F19" s="1"/>
      <c r="G19" s="1"/>
      <c r="H19" s="1"/>
      <c r="I19" s="1"/>
    </row>
    <row r="20" spans="2:9" x14ac:dyDescent="0.25">
      <c r="B20" s="6"/>
      <c r="C20" s="7"/>
      <c r="D20" s="3">
        <v>-3.1379310344827616</v>
      </c>
      <c r="E20" s="1"/>
      <c r="F20" s="1"/>
      <c r="G20" s="1"/>
      <c r="H20" s="1"/>
      <c r="I20" s="1"/>
    </row>
    <row r="21" spans="2:9" x14ac:dyDescent="0.25">
      <c r="B21" s="1"/>
      <c r="C21" s="2"/>
      <c r="D21" s="3">
        <v>12.793103448275865</v>
      </c>
      <c r="E21" s="1"/>
      <c r="F21" s="1"/>
      <c r="G21" s="1"/>
      <c r="H21" s="1"/>
      <c r="I21" s="1"/>
    </row>
  </sheetData>
  <mergeCells count="5">
    <mergeCell ref="B19:B20"/>
    <mergeCell ref="C19:C20"/>
    <mergeCell ref="B7:B8"/>
    <mergeCell ref="B13:B14"/>
    <mergeCell ref="H7:H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6ED3F-FA98-47EB-BA8A-5181F9EC0DB1}">
  <dimension ref="B3:H7"/>
  <sheetViews>
    <sheetView workbookViewId="0">
      <selection activeCell="F28" sqref="F28"/>
    </sheetView>
  </sheetViews>
  <sheetFormatPr defaultRowHeight="15" x14ac:dyDescent="0.25"/>
  <cols>
    <col min="3" max="3" width="9.140625" customWidth="1"/>
    <col min="5" max="5" width="13.7109375" bestFit="1" customWidth="1"/>
    <col min="8" max="8" width="19.85546875" bestFit="1" customWidth="1"/>
  </cols>
  <sheetData>
    <row r="3" spans="2:8" x14ac:dyDescent="0.25">
      <c r="B3" s="8" t="s">
        <v>10</v>
      </c>
      <c r="C3" s="8"/>
      <c r="D3" s="4"/>
      <c r="E3" s="5" t="s">
        <v>16</v>
      </c>
      <c r="F3" s="4">
        <v>0.49767351884453426</v>
      </c>
      <c r="G3" s="4"/>
      <c r="H3" s="5" t="s">
        <v>15</v>
      </c>
    </row>
    <row r="4" spans="2:8" x14ac:dyDescent="0.25">
      <c r="B4" s="5" t="s">
        <v>8</v>
      </c>
      <c r="C4" s="4">
        <v>4</v>
      </c>
      <c r="D4" s="4"/>
      <c r="E4" s="5" t="s">
        <v>12</v>
      </c>
      <c r="F4" s="4">
        <f>(C4)-(F3/2)</f>
        <v>3.7511632405777329</v>
      </c>
      <c r="G4" s="4"/>
      <c r="H4" s="4">
        <f>(F7-C7)^2</f>
        <v>4.1485229133089266E-16</v>
      </c>
    </row>
    <row r="5" spans="2:8" x14ac:dyDescent="0.25">
      <c r="B5" s="5" t="s">
        <v>9</v>
      </c>
      <c r="C5" s="4">
        <v>1</v>
      </c>
      <c r="D5" s="4"/>
      <c r="E5" s="5" t="s">
        <v>13</v>
      </c>
      <c r="F5" s="4">
        <f>(C5)-(F3/2)</f>
        <v>0.75116324057773287</v>
      </c>
      <c r="G5" s="4"/>
      <c r="H5" s="4"/>
    </row>
    <row r="6" spans="2:8" x14ac:dyDescent="0.25">
      <c r="B6" s="4"/>
      <c r="C6" s="4"/>
      <c r="D6" s="4"/>
      <c r="E6" s="4"/>
      <c r="F6" s="4"/>
      <c r="G6" s="4"/>
      <c r="H6" s="4"/>
    </row>
    <row r="7" spans="2:8" x14ac:dyDescent="0.25">
      <c r="B7" s="5" t="s">
        <v>11</v>
      </c>
      <c r="C7" s="4">
        <v>8.7900000000000006E-2</v>
      </c>
      <c r="D7" s="4"/>
      <c r="E7" s="5" t="s">
        <v>14</v>
      </c>
      <c r="F7" s="4">
        <f>(F3^2)/(F4*F5)</f>
        <v>8.7899979632076908E-2</v>
      </c>
      <c r="G7" s="4"/>
      <c r="H7" s="4"/>
    </row>
  </sheetData>
  <mergeCells count="1"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Ch8_Hw8_14</vt:lpstr>
      <vt:lpstr>Ch8_Hw8_23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Isaias</dc:creator>
  <cp:lastModifiedBy>Brian Isaias</cp:lastModifiedBy>
  <dcterms:created xsi:type="dcterms:W3CDTF">2025-11-11T09:24:24Z</dcterms:created>
  <dcterms:modified xsi:type="dcterms:W3CDTF">2025-11-11T10:34:26Z</dcterms:modified>
</cp:coreProperties>
</file>