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livecsupomona-my.sharepoint.com/personal/nlarios_cpp_edu/Documents/"/>
    </mc:Choice>
  </mc:AlternateContent>
  <xr:revisionPtr revIDLastSave="0" documentId="8_{64182637-0093-4ECD-8DE1-1620904CDE7C}" xr6:coauthVersionLast="47" xr6:coauthVersionMax="47" xr10:uidLastSave="{00000000-0000-0000-0000-000000000000}"/>
  <bookViews>
    <workbookView xWindow="-120" yWindow="-120" windowWidth="29040" windowHeight="15720" xr2:uid="{46AFD309-AF30-49D8-AD74-4A80A1FEA473}"/>
  </bookViews>
  <sheets>
    <sheet name="Sheet1" sheetId="1" r:id="rId1"/>
  </sheets>
  <definedNames>
    <definedName name="solver_adj" localSheetId="0" hidden="1">Sheet1!$B$21:$B$23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Sheet1!$H$23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G20" i="1" s="1"/>
  <c r="D20" i="1"/>
  <c r="C20" i="1"/>
  <c r="D13" i="1"/>
  <c r="G14" i="1" s="1"/>
  <c r="H14" i="1" s="1"/>
  <c r="H15" i="1"/>
  <c r="G8" i="1"/>
  <c r="H8" i="1" s="1"/>
  <c r="G6" i="1"/>
  <c r="H6" i="1" s="1"/>
  <c r="G7" i="1"/>
  <c r="H7" i="1" s="1"/>
  <c r="P3" i="1"/>
  <c r="Q3" i="1"/>
  <c r="T17" i="1"/>
  <c r="S17" i="1"/>
  <c r="R17" i="1" s="1"/>
  <c r="M12" i="1"/>
  <c r="P13" i="1" s="1"/>
  <c r="Q13" i="1" s="1"/>
  <c r="P5" i="1"/>
  <c r="Q5" i="1" s="1"/>
  <c r="P4" i="1"/>
  <c r="Q4" i="1" s="1"/>
  <c r="G21" i="1" l="1"/>
  <c r="G22" i="1"/>
  <c r="H22" i="1" s="1"/>
  <c r="G13" i="1"/>
  <c r="H13" i="1" s="1"/>
  <c r="H16" i="1" s="1"/>
  <c r="H20" i="1"/>
  <c r="H21" i="1"/>
  <c r="H9" i="1"/>
  <c r="P12" i="1"/>
  <c r="Q12" i="1" s="1"/>
  <c r="Q14" i="1" s="1"/>
  <c r="U19" i="1"/>
  <c r="V19" i="1" s="1"/>
  <c r="U17" i="1"/>
  <c r="V17" i="1" s="1"/>
  <c r="V20" i="1" s="1"/>
  <c r="U18" i="1"/>
  <c r="V18" i="1" s="1"/>
  <c r="Q6" i="1"/>
  <c r="H23" i="1" l="1"/>
</calcChain>
</file>

<file path=xl/sharedStrings.xml><?xml version="1.0" encoding="utf-8"?>
<sst xmlns="http://schemas.openxmlformats.org/spreadsheetml/2006/main" count="77" uniqueCount="37">
  <si>
    <t>KEY:</t>
  </si>
  <si>
    <t>After Solver</t>
  </si>
  <si>
    <t>Cell link</t>
  </si>
  <si>
    <t>Formula use</t>
  </si>
  <si>
    <t>guesses</t>
  </si>
  <si>
    <t>Overall</t>
  </si>
  <si>
    <t>c</t>
  </si>
  <si>
    <t>In</t>
  </si>
  <si>
    <t>Out</t>
  </si>
  <si>
    <t>Solver</t>
  </si>
  <si>
    <t>d</t>
  </si>
  <si>
    <t>C</t>
  </si>
  <si>
    <t>D</t>
  </si>
  <si>
    <t>E</t>
  </si>
  <si>
    <t>Eqs</t>
  </si>
  <si>
    <t>Squared</t>
  </si>
  <si>
    <t>e</t>
  </si>
  <si>
    <t>ṁ (kg/hr)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</si>
  <si>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</si>
  <si>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3</t>
    </r>
  </si>
  <si>
    <t>c2</t>
  </si>
  <si>
    <r>
      <t>c</t>
    </r>
    <r>
      <rPr>
        <b/>
        <vertAlign val="subscript"/>
        <sz val="11"/>
        <color theme="1"/>
        <rFont val="Aptos Narrow"/>
        <family val="2"/>
        <scheme val="minor"/>
      </rPr>
      <t>4</t>
    </r>
  </si>
  <si>
    <t>Sum=</t>
  </si>
  <si>
    <t>c3</t>
  </si>
  <si>
    <t>Unit 2</t>
  </si>
  <si>
    <t>c4</t>
  </si>
  <si>
    <t>Knowns</t>
  </si>
  <si>
    <t>eqs</t>
  </si>
  <si>
    <t>squared</t>
  </si>
  <si>
    <t>A</t>
  </si>
  <si>
    <t>B</t>
  </si>
  <si>
    <t>a</t>
  </si>
  <si>
    <t>b</t>
  </si>
  <si>
    <t>F</t>
  </si>
  <si>
    <t>F's Composition (Unit 3)</t>
  </si>
  <si>
    <t>C2</t>
  </si>
  <si>
    <r>
      <t>m</t>
    </r>
    <r>
      <rPr>
        <sz val="11"/>
        <color theme="1"/>
        <rFont val="Leelawadee"/>
        <family val="2"/>
        <charset val="222"/>
      </rPr>
      <t>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</si>
</sst>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Leelawadee"/>
      <family val="2"/>
      <charset val="222"/>
    </font>
    <font>
      <b/>
      <vertAlign val="subscript"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1E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2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1" fontId="0" fillId="4" borderId="0" xfId="0" applyNumberFormat="1" applyFill="1"/>
    <xf numFmtId="0" fontId="0" fillId="0" borderId="1" xfId="0" applyBorder="1"/>
    <xf numFmtId="0" fontId="0" fillId="0" borderId="6" xfId="0" applyBorder="1"/>
    <xf numFmtId="0" fontId="0" fillId="4" borderId="6" xfId="0" applyFill="1" applyBorder="1"/>
    <xf numFmtId="0" fontId="0" fillId="0" borderId="9" xfId="0" applyBorder="1"/>
    <xf numFmtId="0" fontId="0" fillId="3" borderId="6" xfId="0" applyFill="1" applyBorder="1"/>
    <xf numFmtId="0" fontId="0" fillId="0" borderId="12" xfId="0" applyBorder="1"/>
    <xf numFmtId="0" fontId="0" fillId="0" borderId="14" xfId="0" applyBorder="1"/>
    <xf numFmtId="1" fontId="0" fillId="4" borderId="15" xfId="0" applyNumberFormat="1" applyFill="1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6" borderId="1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1" xfId="0" applyFill="1" applyBorder="1"/>
    <xf numFmtId="0" fontId="0" fillId="6" borderId="23" xfId="0" applyFill="1" applyBorder="1"/>
    <xf numFmtId="1" fontId="0" fillId="4" borderId="17" xfId="0" applyNumberFormat="1" applyFill="1" applyBorder="1"/>
    <xf numFmtId="0" fontId="0" fillId="0" borderId="25" xfId="0" applyBorder="1"/>
    <xf numFmtId="0" fontId="0" fillId="3" borderId="9" xfId="0" applyFill="1" applyBorder="1"/>
    <xf numFmtId="0" fontId="0" fillId="0" borderId="26" xfId="0" applyBorder="1"/>
    <xf numFmtId="0" fontId="2" fillId="5" borderId="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right"/>
    </xf>
    <xf numFmtId="0" fontId="0" fillId="3" borderId="5" xfId="0" applyFill="1" applyBorder="1" applyAlignment="1">
      <alignment horizontal="center"/>
    </xf>
    <xf numFmtId="0" fontId="0" fillId="3" borderId="15" xfId="0" applyFill="1" applyBorder="1"/>
    <xf numFmtId="0" fontId="0" fillId="3" borderId="7" xfId="0" applyFill="1" applyBorder="1"/>
    <xf numFmtId="1" fontId="0" fillId="8" borderId="15" xfId="0" applyNumberFormat="1" applyFill="1" applyBorder="1"/>
    <xf numFmtId="0" fontId="0" fillId="3" borderId="8" xfId="0" applyFill="1" applyBorder="1"/>
    <xf numFmtId="1" fontId="0" fillId="3" borderId="17" xfId="0" applyNumberFormat="1" applyFill="1" applyBorder="1"/>
    <xf numFmtId="0" fontId="0" fillId="3" borderId="26" xfId="0" applyFill="1" applyBorder="1"/>
    <xf numFmtId="0" fontId="0" fillId="3" borderId="12" xfId="0" applyFill="1" applyBorder="1"/>
    <xf numFmtId="0" fontId="0" fillId="6" borderId="8" xfId="0" applyFill="1" applyBorder="1" applyAlignment="1">
      <alignment horizontal="center"/>
    </xf>
    <xf numFmtId="1" fontId="0" fillId="9" borderId="6" xfId="0" applyNumberFormat="1" applyFill="1" applyBorder="1"/>
    <xf numFmtId="164" fontId="0" fillId="4" borderId="19" xfId="0" applyNumberFormat="1" applyFill="1" applyBorder="1"/>
    <xf numFmtId="2" fontId="0" fillId="4" borderId="19" xfId="0" applyNumberFormat="1" applyFill="1" applyBorder="1"/>
    <xf numFmtId="2" fontId="0" fillId="4" borderId="20" xfId="0" applyNumberFormat="1" applyFill="1" applyBorder="1"/>
    <xf numFmtId="0" fontId="2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7" borderId="27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5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214312</xdr:colOff>
      <xdr:row>16</xdr:row>
      <xdr:rowOff>147637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BFD0F3-9279-EEBB-831C-C211B5496F8C}"/>
            </a:ext>
          </a:extLst>
        </xdr:cNvPr>
        <xdr:cNvSpPr txBox="1"/>
      </xdr:nvSpPr>
      <xdr:spPr>
        <a:xfrm>
          <a:off x="8443912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1C17-1B1B-4D2C-A48C-2DF34825311B}">
  <dimension ref="A1:V24"/>
  <sheetViews>
    <sheetView tabSelected="1" workbookViewId="0">
      <selection activeCell="J17" sqref="J17"/>
    </sheetView>
  </sheetViews>
  <sheetFormatPr defaultRowHeight="14.25"/>
  <sheetData>
    <row r="1" spans="1:22" ht="15" thickBot="1">
      <c r="A1" s="56" t="s">
        <v>0</v>
      </c>
      <c r="B1" s="57" t="s">
        <v>1</v>
      </c>
      <c r="C1" s="59" t="s">
        <v>2</v>
      </c>
      <c r="D1" s="60" t="s">
        <v>3</v>
      </c>
      <c r="E1" s="3"/>
      <c r="F1" s="3"/>
      <c r="G1" s="3"/>
      <c r="H1" s="3"/>
    </row>
    <row r="2" spans="1:22" ht="15" thickBot="1">
      <c r="A2" s="56"/>
      <c r="B2" s="58"/>
      <c r="C2" s="58"/>
      <c r="D2" s="58"/>
      <c r="E2" s="3"/>
      <c r="F2" s="3"/>
      <c r="G2" s="3"/>
      <c r="H2" s="3"/>
      <c r="L2">
        <v>1000</v>
      </c>
      <c r="M2">
        <v>1000</v>
      </c>
      <c r="O2" t="s">
        <v>4</v>
      </c>
    </row>
    <row r="3" spans="1:22" ht="15.75" thickBot="1">
      <c r="A3" s="54" t="s">
        <v>5</v>
      </c>
      <c r="B3" s="54"/>
      <c r="C3" s="54"/>
      <c r="D3" s="54"/>
      <c r="E3" s="54"/>
      <c r="F3" s="54"/>
      <c r="G3" s="54"/>
      <c r="H3" s="54"/>
      <c r="L3">
        <v>0.5</v>
      </c>
      <c r="M3">
        <v>0.3</v>
      </c>
      <c r="N3" t="s">
        <v>6</v>
      </c>
      <c r="O3" s="2">
        <v>857.14284430393309</v>
      </c>
      <c r="P3">
        <f>((L2*L4)+(M2*M4))-((O3*M9)+(O4*N9)+(O5*O9))</f>
        <v>1.9574975624436775E-5</v>
      </c>
      <c r="Q3">
        <f>P3^2</f>
        <v>3.8317967069729391E-10</v>
      </c>
    </row>
    <row r="4" spans="1:22" ht="15.75" thickBot="1">
      <c r="A4" s="3"/>
      <c r="B4" s="52" t="s">
        <v>7</v>
      </c>
      <c r="C4" s="53"/>
      <c r="D4" s="61" t="s">
        <v>8</v>
      </c>
      <c r="E4" s="62"/>
      <c r="F4" s="65"/>
      <c r="G4" s="63" t="s">
        <v>9</v>
      </c>
      <c r="H4" s="64"/>
      <c r="L4">
        <v>0.3</v>
      </c>
      <c r="M4">
        <v>0.2</v>
      </c>
      <c r="N4" t="s">
        <v>10</v>
      </c>
      <c r="O4" s="2">
        <v>142.85714111481349</v>
      </c>
      <c r="P4">
        <f>((L2*L3)+(M2*M3))-((O3*M8)+(O4*N8))</f>
        <v>1.1903497465937107E-5</v>
      </c>
      <c r="Q4">
        <f t="shared" ref="Q4:Q5" si="0">P4^2</f>
        <v>1.4169325192157112E-10</v>
      </c>
    </row>
    <row r="5" spans="1:22" ht="15" thickBot="1">
      <c r="A5" s="3"/>
      <c r="B5" s="22">
        <v>1</v>
      </c>
      <c r="C5" s="23">
        <v>2</v>
      </c>
      <c r="D5" s="23" t="s">
        <v>11</v>
      </c>
      <c r="E5" s="40" t="s">
        <v>12</v>
      </c>
      <c r="F5" s="40" t="s">
        <v>13</v>
      </c>
      <c r="G5" s="25" t="s">
        <v>14</v>
      </c>
      <c r="H5" s="24" t="s">
        <v>15</v>
      </c>
      <c r="L5">
        <v>0.2</v>
      </c>
      <c r="M5">
        <v>0.5</v>
      </c>
      <c r="N5" t="s">
        <v>16</v>
      </c>
      <c r="O5" s="2">
        <v>999.99994367593422</v>
      </c>
      <c r="P5">
        <f>((L2*L5)+(M2*M5))-(O5*O10)</f>
        <v>3.9426846115020453E-5</v>
      </c>
      <c r="Q5">
        <f t="shared" si="0"/>
        <v>1.5544761945775033E-9</v>
      </c>
    </row>
    <row r="6" spans="1:22" ht="16.5" thickTop="1" thickBot="1">
      <c r="A6" s="30" t="s">
        <v>17</v>
      </c>
      <c r="B6" s="9">
        <v>1000</v>
      </c>
      <c r="C6" s="16">
        <v>1000</v>
      </c>
      <c r="D6" s="15">
        <v>857.18685957538287</v>
      </c>
      <c r="E6" s="15">
        <v>142.87357712704255</v>
      </c>
      <c r="F6" s="26">
        <v>1000.2624162058693</v>
      </c>
      <c r="G6" s="27">
        <f>((B6*B7)+(C6*C7))-((D6*D7)+(E6*E7))</f>
        <v>-4.2889043253126147E-2</v>
      </c>
      <c r="H6" s="17">
        <f>G6^2</f>
        <v>1.8394700311685254E-3</v>
      </c>
      <c r="Q6">
        <f>SUM(Q3:Q5)</f>
        <v>2.0793491171963682E-9</v>
      </c>
    </row>
    <row r="7" spans="1:22" ht="18.75" thickBot="1">
      <c r="A7" s="30" t="s">
        <v>18</v>
      </c>
      <c r="B7" s="18">
        <v>0.5</v>
      </c>
      <c r="C7" s="21">
        <v>0.3</v>
      </c>
      <c r="D7" s="18">
        <v>0.9</v>
      </c>
      <c r="E7" s="21">
        <v>0.2</v>
      </c>
      <c r="F7" s="28"/>
      <c r="G7" s="29">
        <f>(B6*B8+C6*C8)-((D6*D8)+(E6*E8)+(F6*F8))</f>
        <v>-9.6272520933098349E-2</v>
      </c>
      <c r="H7" s="13">
        <f t="shared" ref="H7:H8" si="1">G7^2</f>
        <v>9.2683982868138597E-3</v>
      </c>
      <c r="M7" t="s">
        <v>6</v>
      </c>
      <c r="N7" t="s">
        <v>10</v>
      </c>
      <c r="O7" t="s">
        <v>16</v>
      </c>
    </row>
    <row r="8" spans="1:22" ht="18.75" thickBot="1">
      <c r="A8" s="30" t="s">
        <v>19</v>
      </c>
      <c r="B8" s="18">
        <v>0.3</v>
      </c>
      <c r="C8" s="9">
        <v>0.2</v>
      </c>
      <c r="D8" s="19">
        <v>0.1</v>
      </c>
      <c r="E8" s="19">
        <v>0.8</v>
      </c>
      <c r="F8" s="11">
        <v>0.3</v>
      </c>
      <c r="G8" s="29">
        <f>(B6*B9+C6*C9)-(F6*F9)</f>
        <v>-0.1836913441084107</v>
      </c>
      <c r="H8" s="13">
        <f t="shared" si="1"/>
        <v>3.3742509900354552E-2</v>
      </c>
      <c r="L8" t="s">
        <v>20</v>
      </c>
      <c r="M8">
        <v>0.9</v>
      </c>
      <c r="N8">
        <v>0.2</v>
      </c>
    </row>
    <row r="9" spans="1:22" ht="18.75" thickBot="1">
      <c r="A9" s="48" t="s">
        <v>21</v>
      </c>
      <c r="B9" s="19">
        <v>0.2</v>
      </c>
      <c r="C9" s="19">
        <v>0.5</v>
      </c>
      <c r="D9" s="3"/>
      <c r="E9" s="3"/>
      <c r="F9" s="19">
        <v>0.7</v>
      </c>
      <c r="G9" s="31" t="s">
        <v>22</v>
      </c>
      <c r="H9" s="8">
        <f>SUM(H6:H8)</f>
        <v>4.4850378218336935E-2</v>
      </c>
      <c r="L9" t="s">
        <v>23</v>
      </c>
      <c r="M9">
        <v>0.1</v>
      </c>
      <c r="N9">
        <v>0.8</v>
      </c>
      <c r="O9">
        <v>0.3</v>
      </c>
    </row>
    <row r="10" spans="1:22" ht="15.75" thickBot="1">
      <c r="A10" s="54" t="s">
        <v>24</v>
      </c>
      <c r="B10" s="55"/>
      <c r="C10" s="55"/>
      <c r="D10" s="55"/>
      <c r="E10" s="55"/>
      <c r="F10" s="55"/>
      <c r="G10" s="55"/>
      <c r="H10" s="55"/>
      <c r="L10" t="s">
        <v>25</v>
      </c>
      <c r="O10">
        <v>0.7</v>
      </c>
    </row>
    <row r="11" spans="1:22" ht="15.75" thickBot="1">
      <c r="A11" s="3"/>
      <c r="B11" s="46" t="s">
        <v>7</v>
      </c>
      <c r="C11" s="52" t="s">
        <v>8</v>
      </c>
      <c r="D11" s="53"/>
      <c r="E11" s="3"/>
      <c r="F11" s="3"/>
      <c r="G11" s="50" t="s">
        <v>9</v>
      </c>
      <c r="H11" s="51"/>
      <c r="M11" t="s">
        <v>26</v>
      </c>
      <c r="O11" t="s">
        <v>4</v>
      </c>
      <c r="P11" t="s">
        <v>27</v>
      </c>
      <c r="Q11" t="s">
        <v>28</v>
      </c>
    </row>
    <row r="12" spans="1:22" ht="15" thickBot="1">
      <c r="A12" s="3"/>
      <c r="B12" s="22" t="s">
        <v>29</v>
      </c>
      <c r="C12" s="23" t="s">
        <v>30</v>
      </c>
      <c r="D12" s="40" t="s">
        <v>11</v>
      </c>
      <c r="E12" s="32"/>
      <c r="F12" s="36"/>
      <c r="G12" s="25" t="s">
        <v>14</v>
      </c>
      <c r="H12" s="24" t="s">
        <v>15</v>
      </c>
      <c r="L12" t="s">
        <v>11</v>
      </c>
      <c r="M12" s="1">
        <f>O3</f>
        <v>857.14284430393309</v>
      </c>
      <c r="N12" t="s">
        <v>29</v>
      </c>
      <c r="O12" s="2">
        <v>1285.714266927914</v>
      </c>
      <c r="P12">
        <f>(O12*M15)-((O13*N15)+(M12*O15))</f>
        <v>4.9380863401893293E-4</v>
      </c>
      <c r="Q12">
        <f>P12^2</f>
        <v>2.4384696703164448E-7</v>
      </c>
    </row>
    <row r="13" spans="1:22" ht="15" customHeight="1" thickTop="1" thickBot="1">
      <c r="A13" s="30" t="s">
        <v>17</v>
      </c>
      <c r="B13" s="10">
        <v>1285.7802898349842</v>
      </c>
      <c r="C13" s="15">
        <v>428.59260767450945</v>
      </c>
      <c r="D13" s="35">
        <f>D6</f>
        <v>857.18685957538287</v>
      </c>
      <c r="E13" s="33"/>
      <c r="F13" s="37"/>
      <c r="G13" s="27">
        <f>(B13*B14)-((C13*C14)+(D13*D14))</f>
        <v>4.9364543701813091E-4</v>
      </c>
      <c r="H13" s="17">
        <f>G13^2</f>
        <v>2.4368581748882144E-7</v>
      </c>
      <c r="N13" t="s">
        <v>30</v>
      </c>
      <c r="O13" s="2">
        <v>428.57059976692869</v>
      </c>
      <c r="P13">
        <f>(O12*M16)-((O13*N16)+(M12*O16))</f>
        <v>3.2904841799563656E-4</v>
      </c>
      <c r="Q13">
        <f>P13^2</f>
        <v>1.0827286138543115E-7</v>
      </c>
    </row>
    <row r="14" spans="1:22" ht="15.75" customHeight="1" thickBot="1">
      <c r="A14" s="30" t="s">
        <v>18</v>
      </c>
      <c r="B14" s="18">
        <v>0.8</v>
      </c>
      <c r="C14" s="18">
        <v>0.6</v>
      </c>
      <c r="D14" s="21">
        <v>0.9</v>
      </c>
      <c r="E14" s="12"/>
      <c r="F14" s="28"/>
      <c r="G14" s="29">
        <f>(B13*B15)-((C13*C15)+(D13*D15))</f>
        <v>3.2893965476432641E-4</v>
      </c>
      <c r="H14" s="13">
        <f t="shared" ref="H14:H15" si="2">G14^2</f>
        <v>1.0820129647647425E-7</v>
      </c>
      <c r="M14" t="s">
        <v>31</v>
      </c>
      <c r="N14" t="s">
        <v>32</v>
      </c>
      <c r="O14" t="s">
        <v>6</v>
      </c>
      <c r="Q14">
        <f>Q12+Q13</f>
        <v>3.5211982841707565E-7</v>
      </c>
    </row>
    <row r="15" spans="1:22" ht="15.75" customHeight="1" thickBot="1">
      <c r="A15" s="30" t="s">
        <v>19</v>
      </c>
      <c r="B15" s="18">
        <v>0.2</v>
      </c>
      <c r="C15" s="18">
        <v>0.4</v>
      </c>
      <c r="D15" s="18">
        <v>0.1</v>
      </c>
      <c r="E15" s="12"/>
      <c r="F15" s="28"/>
      <c r="G15" s="38"/>
      <c r="H15" s="39">
        <f t="shared" si="2"/>
        <v>0</v>
      </c>
      <c r="L15" t="s">
        <v>20</v>
      </c>
      <c r="M15">
        <v>0.8</v>
      </c>
      <c r="N15">
        <v>0.6</v>
      </c>
      <c r="O15">
        <v>0.9</v>
      </c>
    </row>
    <row r="16" spans="1:22" ht="15.75" customHeight="1" thickBot="1">
      <c r="A16" s="47" t="s">
        <v>21</v>
      </c>
      <c r="B16" s="3"/>
      <c r="C16" s="34"/>
      <c r="D16" s="28"/>
      <c r="E16" s="34"/>
      <c r="F16" s="34"/>
      <c r="G16" s="31" t="s">
        <v>22</v>
      </c>
      <c r="H16" s="8">
        <f>SUM(H13:H14)</f>
        <v>3.5188711396529571E-7</v>
      </c>
      <c r="J16" s="49"/>
      <c r="K16" s="49"/>
      <c r="L16" t="s">
        <v>23</v>
      </c>
      <c r="M16">
        <v>0.2</v>
      </c>
      <c r="N16">
        <v>0.4</v>
      </c>
      <c r="O16">
        <v>0.1</v>
      </c>
      <c r="R16" t="s">
        <v>33</v>
      </c>
      <c r="S16" t="s">
        <v>12</v>
      </c>
      <c r="T16" t="s">
        <v>13</v>
      </c>
      <c r="U16" t="s">
        <v>27</v>
      </c>
      <c r="V16" t="s">
        <v>28</v>
      </c>
    </row>
    <row r="17" spans="1:22" ht="15.75" thickBot="1">
      <c r="A17" s="54" t="s">
        <v>34</v>
      </c>
      <c r="B17" s="55"/>
      <c r="C17" s="55"/>
      <c r="D17" s="55"/>
      <c r="E17" s="55"/>
      <c r="F17" s="55"/>
      <c r="G17" s="55"/>
      <c r="H17" s="55"/>
      <c r="R17" s="7">
        <f>S17+T17</f>
        <v>1142.8570847907476</v>
      </c>
      <c r="S17" s="1">
        <f>O4</f>
        <v>142.85714111481349</v>
      </c>
      <c r="T17" s="1">
        <f>O5</f>
        <v>999.99994367593422</v>
      </c>
      <c r="U17">
        <f>(R17*R18)-((S17*S18))</f>
        <v>2.1844760698641608E-4</v>
      </c>
      <c r="V17">
        <f>U17^2</f>
        <v>4.7719356998091698E-8</v>
      </c>
    </row>
    <row r="18" spans="1:22" ht="15.75" thickBot="1">
      <c r="A18" s="3"/>
      <c r="B18" s="46" t="s">
        <v>7</v>
      </c>
      <c r="C18" s="52" t="s">
        <v>8</v>
      </c>
      <c r="D18" s="53"/>
      <c r="E18" s="3"/>
      <c r="F18" s="3"/>
      <c r="G18" s="50" t="s">
        <v>9</v>
      </c>
      <c r="H18" s="51"/>
      <c r="Q18" t="s">
        <v>35</v>
      </c>
      <c r="R18" s="5">
        <v>2.5000192106960629E-2</v>
      </c>
      <c r="S18">
        <v>0.2</v>
      </c>
      <c r="T18" s="3"/>
      <c r="U18">
        <f>(R17*R19)-((S17*S19)+(T17*T19))</f>
        <v>-0.4692397502494714</v>
      </c>
      <c r="V18">
        <f t="shared" ref="V18:V19" si="3">U18^2</f>
        <v>0.2201859432141863</v>
      </c>
    </row>
    <row r="19" spans="1:22" ht="15.75" thickBot="1">
      <c r="A19" s="3"/>
      <c r="B19" s="22" t="s">
        <v>33</v>
      </c>
      <c r="C19" s="23" t="s">
        <v>12</v>
      </c>
      <c r="D19" s="40" t="s">
        <v>13</v>
      </c>
      <c r="E19" s="32"/>
      <c r="F19" s="36"/>
      <c r="G19" s="25" t="s">
        <v>14</v>
      </c>
      <c r="H19" s="24" t="s">
        <v>15</v>
      </c>
      <c r="J19" s="49"/>
      <c r="K19" s="49"/>
      <c r="L19" s="45"/>
      <c r="Q19" t="s">
        <v>23</v>
      </c>
      <c r="R19" s="4">
        <v>0.36208941761090768</v>
      </c>
      <c r="S19">
        <v>0.8</v>
      </c>
      <c r="T19">
        <v>0.3</v>
      </c>
      <c r="U19">
        <f>(R17*R20)-((T17*T20))</f>
        <v>-4.0277338572650478E-2</v>
      </c>
      <c r="V19">
        <f t="shared" si="3"/>
        <v>1.6222640024959182E-3</v>
      </c>
    </row>
    <row r="20" spans="1:22" ht="16.5" thickTop="1" thickBot="1">
      <c r="A20" s="30" t="s">
        <v>17</v>
      </c>
      <c r="B20" s="41">
        <f>C20+D20</f>
        <v>1143.1359933329118</v>
      </c>
      <c r="C20" s="35">
        <f>E6</f>
        <v>142.87357712704255</v>
      </c>
      <c r="D20" s="35">
        <f>F6</f>
        <v>1000.2624162058693</v>
      </c>
      <c r="E20" s="33"/>
      <c r="F20" s="37"/>
      <c r="G20" s="27">
        <f>(B20*B21)-(C20*C21)</f>
        <v>3.9666709643171316E-5</v>
      </c>
      <c r="H20" s="17">
        <f>G20^2</f>
        <v>1.5734478539156603E-9</v>
      </c>
      <c r="P20" t="s">
        <v>36</v>
      </c>
      <c r="Q20" t="s">
        <v>25</v>
      </c>
      <c r="R20" s="4">
        <v>0.61246475394842648</v>
      </c>
      <c r="T20">
        <v>0.7</v>
      </c>
      <c r="V20">
        <f>SUM(V17:V19)</f>
        <v>0.2218082549360392</v>
      </c>
    </row>
    <row r="21" spans="1:22" ht="18.75" thickBot="1">
      <c r="A21" s="30" t="s">
        <v>18</v>
      </c>
      <c r="B21" s="42">
        <v>2.499681162938977E-2</v>
      </c>
      <c r="C21" s="18">
        <v>0.2</v>
      </c>
      <c r="D21" s="12"/>
      <c r="E21" s="12"/>
      <c r="F21" s="28"/>
      <c r="G21" s="29">
        <f>(B20*B22)-((C20*C22)+(D20*D22))</f>
        <v>-4.3037200100570772E-4</v>
      </c>
      <c r="H21" s="13">
        <f t="shared" ref="H21:H22" si="4">G21^2</f>
        <v>1.8522005924965689E-7</v>
      </c>
    </row>
    <row r="22" spans="1:22" ht="18.75" thickBot="1">
      <c r="A22" s="30" t="s">
        <v>19</v>
      </c>
      <c r="B22" s="43">
        <v>0.36249156584007242</v>
      </c>
      <c r="C22" s="18">
        <v>0.8</v>
      </c>
      <c r="D22" s="20">
        <v>0.3</v>
      </c>
      <c r="E22" s="12"/>
      <c r="F22" s="28"/>
      <c r="G22" s="29">
        <f>(B20*B23)-(D20*D23)</f>
        <v>-2.0918378140777349E-11</v>
      </c>
      <c r="H22" s="13">
        <f t="shared" si="4"/>
        <v>4.3757854404055164E-22</v>
      </c>
    </row>
    <row r="23" spans="1:22" ht="18.75" thickBot="1">
      <c r="A23" s="30" t="s">
        <v>21</v>
      </c>
      <c r="B23" s="44">
        <v>0.61251128074678274</v>
      </c>
      <c r="C23" s="34"/>
      <c r="D23" s="18">
        <v>0.7</v>
      </c>
      <c r="E23" s="34"/>
      <c r="F23" s="34"/>
      <c r="G23" s="31" t="s">
        <v>22</v>
      </c>
      <c r="H23" s="8">
        <f>SUM(H20:H22)</f>
        <v>1.86793507103573E-7</v>
      </c>
    </row>
    <row r="24" spans="1:22">
      <c r="C24" s="6"/>
      <c r="D24" s="14"/>
      <c r="E24" s="14"/>
    </row>
  </sheetData>
  <mergeCells count="16">
    <mergeCell ref="A10:H10"/>
    <mergeCell ref="B4:C4"/>
    <mergeCell ref="D4:F4"/>
    <mergeCell ref="G4:H4"/>
    <mergeCell ref="A1:A2"/>
    <mergeCell ref="B1:B2"/>
    <mergeCell ref="C1:C2"/>
    <mergeCell ref="D1:D2"/>
    <mergeCell ref="A3:H3"/>
    <mergeCell ref="J16:K16"/>
    <mergeCell ref="G11:H11"/>
    <mergeCell ref="J19:K19"/>
    <mergeCell ref="G18:H18"/>
    <mergeCell ref="C11:D11"/>
    <mergeCell ref="A17:H17"/>
    <mergeCell ref="C18:D18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BD534E9A93E4FA222CB9F8904649A" ma:contentTypeVersion="5" ma:contentTypeDescription="Create a new document." ma:contentTypeScope="" ma:versionID="abd142e16bec507c2c3402a1734d41cd">
  <xsd:schema xmlns:xsd="http://www.w3.org/2001/XMLSchema" xmlns:xs="http://www.w3.org/2001/XMLSchema" xmlns:p="http://schemas.microsoft.com/office/2006/metadata/properties" xmlns:ns3="d96209a8-0a3c-4794-8f57-6e44edf4b68b" targetNamespace="http://schemas.microsoft.com/office/2006/metadata/properties" ma:root="true" ma:fieldsID="aa1ed783fd833aaaf48d2a9dbef06b24" ns3:_="">
    <xsd:import namespace="d96209a8-0a3c-4794-8f57-6e44edf4b68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209a8-0a3c-4794-8f57-6e44edf4b68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6209a8-0a3c-4794-8f57-6e44edf4b68b" xsi:nil="true"/>
  </documentManagement>
</p:properties>
</file>

<file path=customXml/itemProps1.xml><?xml version="1.0" encoding="utf-8"?>
<ds:datastoreItem xmlns:ds="http://schemas.openxmlformats.org/officeDocument/2006/customXml" ds:itemID="{15850DAD-FB64-4431-AC14-B7E5AB5A6E5A}"/>
</file>

<file path=customXml/itemProps2.xml><?xml version="1.0" encoding="utf-8"?>
<ds:datastoreItem xmlns:ds="http://schemas.openxmlformats.org/officeDocument/2006/customXml" ds:itemID="{49E05E83-E674-4371-8F6B-634AAF9DBDC4}"/>
</file>

<file path=customXml/itemProps3.xml><?xml version="1.0" encoding="utf-8"?>
<ds:datastoreItem xmlns:ds="http://schemas.openxmlformats.org/officeDocument/2006/customXml" ds:itemID="{08A10F96-1723-4D1A-8BA4-B89CAA7DD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Larios</dc:creator>
  <cp:keywords/>
  <dc:description/>
  <cp:lastModifiedBy/>
  <cp:revision/>
  <dcterms:created xsi:type="dcterms:W3CDTF">2025-11-11T07:04:55Z</dcterms:created>
  <dcterms:modified xsi:type="dcterms:W3CDTF">2025-11-18T08:47:10Z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0x0101007E6BD534E9A93E4FA222CB9F8904649A</vt:lpwstr>
  </property>
</Properties>
</file>