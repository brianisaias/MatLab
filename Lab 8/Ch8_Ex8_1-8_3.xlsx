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4ef5049b916cec/School Documents/Fall 2025/CHE 1311 and 1411L/1411L/Lab 8/"/>
    </mc:Choice>
  </mc:AlternateContent>
  <xr:revisionPtr revIDLastSave="167" documentId="8_{EB8E2E4C-07D5-4F0D-B4F9-E893FDDFAB06}" xr6:coauthVersionLast="47" xr6:coauthVersionMax="47" xr10:uidLastSave="{CF84C50F-E098-45F6-A86E-2706A3FF64DD}"/>
  <bookViews>
    <workbookView xWindow="14295" yWindow="0" windowWidth="14610" windowHeight="15585" activeTab="3" xr2:uid="{7F173880-8438-44B4-92D6-76EFE1B8FAE6}"/>
  </bookViews>
  <sheets>
    <sheet name="8.1" sheetId="1" r:id="rId1"/>
    <sheet name="8.1 Chart" sheetId="2" r:id="rId2"/>
    <sheet name="8.2" sheetId="3" r:id="rId3"/>
    <sheet name="8.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4" l="1" a="1"/>
  <c r="F11" i="4" s="1"/>
  <c r="H6" i="4"/>
  <c r="G6" i="4"/>
  <c r="G5" i="4"/>
  <c r="F5" i="4"/>
  <c r="B6" i="3"/>
  <c r="D6" i="3" s="1"/>
  <c r="D5" i="3"/>
  <c r="C5" i="3"/>
  <c r="D4" i="3"/>
  <c r="C4" i="3"/>
  <c r="D3" i="3"/>
  <c r="C3" i="3"/>
  <c r="E3" i="3" s="1"/>
  <c r="C3" i="1"/>
  <c r="B6" i="1"/>
  <c r="D4" i="1"/>
  <c r="D5" i="1"/>
  <c r="C4" i="1"/>
  <c r="C5" i="1"/>
  <c r="D3" i="1"/>
  <c r="G11" i="4" l="1"/>
  <c r="C12" i="4" s="1" a="1"/>
  <c r="H13" i="4"/>
  <c r="G13" i="4"/>
  <c r="F13" i="4"/>
  <c r="H12" i="4"/>
  <c r="G12" i="4"/>
  <c r="F12" i="4"/>
  <c r="H11" i="4"/>
  <c r="C6" i="3"/>
  <c r="E3" i="1"/>
  <c r="D6" i="1"/>
  <c r="C6" i="1"/>
  <c r="C12" i="4" l="1"/>
  <c r="K5" i="4" s="1"/>
  <c r="C13" i="4"/>
  <c r="K6" i="4" s="1"/>
  <c r="C14" i="4"/>
  <c r="K7" i="4" s="1"/>
</calcChain>
</file>

<file path=xl/sharedStrings.xml><?xml version="1.0" encoding="utf-8"?>
<sst xmlns="http://schemas.openxmlformats.org/spreadsheetml/2006/main" count="21" uniqueCount="17">
  <si>
    <t>y_1</t>
  </si>
  <si>
    <t>y_2</t>
  </si>
  <si>
    <t>x</t>
  </si>
  <si>
    <t>y_1-y_2</t>
  </si>
  <si>
    <t>R_1</t>
  </si>
  <si>
    <t>R_2</t>
  </si>
  <si>
    <t>R_3</t>
  </si>
  <si>
    <t>R_4</t>
  </si>
  <si>
    <t>Resistance (ohms)</t>
  </si>
  <si>
    <t>A=</t>
  </si>
  <si>
    <t xml:space="preserve">C= </t>
  </si>
  <si>
    <t>A^-1=</t>
  </si>
  <si>
    <t>X=</t>
  </si>
  <si>
    <t>Current (amps)</t>
  </si>
  <si>
    <t>I_1</t>
  </si>
  <si>
    <t>I_2</t>
  </si>
  <si>
    <t>I_3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</si>
</sst>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66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y_1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'8.1'!$B$3:$B$6</c:f>
              <c:numCache>
                <c:formatCode>General</c:formatCode>
                <c:ptCount val="4"/>
                <c:pt idx="0">
                  <c:v>-4.5</c:v>
                </c:pt>
                <c:pt idx="1">
                  <c:v>-5</c:v>
                </c:pt>
                <c:pt idx="2">
                  <c:v>-5.5</c:v>
                </c:pt>
                <c:pt idx="3">
                  <c:v>-6</c:v>
                </c:pt>
              </c:numCache>
            </c:numRef>
          </c:xVal>
          <c:yVal>
            <c:numRef>
              <c:f>'8.1'!$C$3:$C$6</c:f>
              <c:numCache>
                <c:formatCode>0.00</c:formatCode>
                <c:ptCount val="4"/>
                <c:pt idx="0">
                  <c:v>7.666666666666667</c:v>
                </c:pt>
                <c:pt idx="1">
                  <c:v>8</c:v>
                </c:pt>
                <c:pt idx="2">
                  <c:v>8.3333333333333339</c:v>
                </c:pt>
                <c:pt idx="3">
                  <c:v>8.6666666666666679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9E-4926-BA9B-BDF10CA0FC9F}"/>
            </c:ext>
          </c:extLst>
        </c:ser>
        <c:ser>
          <c:idx val="1"/>
          <c:order val="1"/>
          <c:tx>
            <c:v>y_2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  <a:prstDash val="dash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A9E-4926-BA9B-BDF10CA0FC9F}"/>
              </c:ext>
            </c:extLst>
          </c:dPt>
          <c:xVal>
            <c:numRef>
              <c:f>'8.1'!$B$3:$B$6</c:f>
              <c:numCache>
                <c:formatCode>General</c:formatCode>
                <c:ptCount val="4"/>
                <c:pt idx="0">
                  <c:v>-4.5</c:v>
                </c:pt>
                <c:pt idx="1">
                  <c:v>-5</c:v>
                </c:pt>
                <c:pt idx="2">
                  <c:v>-5.5</c:v>
                </c:pt>
                <c:pt idx="3">
                  <c:v>-6</c:v>
                </c:pt>
              </c:numCache>
            </c:numRef>
          </c:xVal>
          <c:yVal>
            <c:numRef>
              <c:f>'8.1'!$D$3:$D$6</c:f>
              <c:numCache>
                <c:formatCode>General</c:formatCode>
                <c:ptCount val="4"/>
                <c:pt idx="0">
                  <c:v>10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A9E-4926-BA9B-BDF10CA0F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782208"/>
        <c:axId val="576123264"/>
      </c:scatterChart>
      <c:valAx>
        <c:axId val="1086782208"/>
        <c:scaling>
          <c:orientation val="minMax"/>
          <c:max val="-4"/>
          <c:min val="-6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23264"/>
        <c:crosses val="autoZero"/>
        <c:crossBetween val="midCat"/>
      </c:valAx>
      <c:valAx>
        <c:axId val="57612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782208"/>
        <c:crosses val="autoZero"/>
        <c:crossBetween val="midCat"/>
      </c:valAx>
      <c:spPr>
        <a:noFill/>
        <a:ln>
          <a:solidFill>
            <a:schemeClr val="accent2">
              <a:alpha val="99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BC7868C-DCE0-4BBD-8F60-EB0DBF65661E}">
  <sheetPr/>
  <sheetViews>
    <sheetView zoomScale="10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5221" cy="629397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4CCF4E-1346-2914-233F-E95ECCF6F96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7CE58-9219-4575-959A-FAD28C593A0F}">
  <dimension ref="B2:E6"/>
  <sheetViews>
    <sheetView workbookViewId="0">
      <selection activeCell="D14" sqref="D14"/>
    </sheetView>
  </sheetViews>
  <sheetFormatPr defaultRowHeight="15" x14ac:dyDescent="0.25"/>
  <sheetData>
    <row r="2" spans="2:5" x14ac:dyDescent="0.25">
      <c r="B2" s="2" t="s">
        <v>2</v>
      </c>
      <c r="C2" s="2" t="s">
        <v>0</v>
      </c>
      <c r="D2" s="2" t="s">
        <v>1</v>
      </c>
      <c r="E2" s="2" t="s">
        <v>3</v>
      </c>
    </row>
    <row r="3" spans="2:5" x14ac:dyDescent="0.25">
      <c r="B3" s="2">
        <v>-4.5</v>
      </c>
      <c r="C3" s="3">
        <f>-2/3*B3+14/3</f>
        <v>7.666666666666667</v>
      </c>
      <c r="D3" s="2">
        <f>4*B3+28</f>
        <v>10</v>
      </c>
      <c r="E3" s="1">
        <f>C3-D3</f>
        <v>-2.333333333333333</v>
      </c>
    </row>
    <row r="4" spans="2:5" x14ac:dyDescent="0.25">
      <c r="B4" s="2">
        <v>-5</v>
      </c>
      <c r="C4" s="3">
        <f t="shared" ref="C4:C6" si="0">-2/3*B4+14/3</f>
        <v>8</v>
      </c>
      <c r="D4" s="2">
        <f t="shared" ref="D4:D6" si="1">4*B4+28</f>
        <v>8</v>
      </c>
    </row>
    <row r="5" spans="2:5" x14ac:dyDescent="0.25">
      <c r="B5" s="2">
        <v>-5.5</v>
      </c>
      <c r="C5" s="3">
        <f t="shared" si="0"/>
        <v>8.3333333333333339</v>
      </c>
      <c r="D5" s="2">
        <f t="shared" si="1"/>
        <v>6</v>
      </c>
    </row>
    <row r="6" spans="2:5" x14ac:dyDescent="0.25">
      <c r="B6" s="2">
        <f>-6</f>
        <v>-6</v>
      </c>
      <c r="C6" s="3">
        <f t="shared" si="0"/>
        <v>8.6666666666666679</v>
      </c>
      <c r="D6" s="2">
        <f t="shared" si="1"/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02834-D6EF-4A2B-8B82-91DB31AC27F6}">
  <dimension ref="B2:E6"/>
  <sheetViews>
    <sheetView workbookViewId="0">
      <selection activeCell="E7" sqref="E7"/>
    </sheetView>
  </sheetViews>
  <sheetFormatPr defaultRowHeight="15" x14ac:dyDescent="0.25"/>
  <sheetData>
    <row r="2" spans="2:5" x14ac:dyDescent="0.25">
      <c r="B2" s="2" t="s">
        <v>2</v>
      </c>
      <c r="C2" s="2" t="s">
        <v>0</v>
      </c>
      <c r="D2" s="2" t="s">
        <v>1</v>
      </c>
      <c r="E2" s="2" t="s">
        <v>3</v>
      </c>
    </row>
    <row r="3" spans="2:5" x14ac:dyDescent="0.25">
      <c r="B3" s="2">
        <v>-5</v>
      </c>
      <c r="C3" s="3">
        <f>-2/3*B3+14/3</f>
        <v>8</v>
      </c>
      <c r="D3" s="2">
        <f>4*B3+28</f>
        <v>8</v>
      </c>
      <c r="E3" s="1">
        <f>C3-D3</f>
        <v>0</v>
      </c>
    </row>
    <row r="4" spans="2:5" x14ac:dyDescent="0.25">
      <c r="B4" s="2">
        <v>-5</v>
      </c>
      <c r="C4" s="3">
        <f t="shared" ref="C4:C6" si="0">-2/3*B4+14/3</f>
        <v>8</v>
      </c>
      <c r="D4" s="2">
        <f t="shared" ref="D4:D6" si="1">4*B4+28</f>
        <v>8</v>
      </c>
    </row>
    <row r="5" spans="2:5" x14ac:dyDescent="0.25">
      <c r="B5" s="2">
        <v>-5.5</v>
      </c>
      <c r="C5" s="3">
        <f t="shared" si="0"/>
        <v>8.3333333333333339</v>
      </c>
      <c r="D5" s="2">
        <f t="shared" si="1"/>
        <v>6</v>
      </c>
    </row>
    <row r="6" spans="2:5" x14ac:dyDescent="0.25">
      <c r="B6" s="2">
        <f>-6</f>
        <v>-6</v>
      </c>
      <c r="C6" s="3">
        <f t="shared" si="0"/>
        <v>8.6666666666666679</v>
      </c>
      <c r="D6" s="2">
        <f t="shared" si="1"/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DC020-B86E-4143-9E43-FC12FD12131F}">
  <dimension ref="B1:K23"/>
  <sheetViews>
    <sheetView tabSelected="1" workbookViewId="0">
      <selection activeCell="C14" sqref="C14"/>
    </sheetView>
  </sheetViews>
  <sheetFormatPr defaultRowHeight="15" x14ac:dyDescent="0.25"/>
  <sheetData>
    <row r="1" spans="2:11" ht="15.75" thickBot="1" x14ac:dyDescent="0.3"/>
    <row r="2" spans="2:11" ht="15.75" thickBot="1" x14ac:dyDescent="0.3">
      <c r="B2" s="10" t="s">
        <v>8</v>
      </c>
      <c r="C2" s="10"/>
    </row>
    <row r="3" spans="2:11" ht="15.75" thickBot="1" x14ac:dyDescent="0.3">
      <c r="B3" s="11" t="s">
        <v>4</v>
      </c>
      <c r="C3" s="11">
        <v>10</v>
      </c>
    </row>
    <row r="4" spans="2:11" ht="15.75" thickBot="1" x14ac:dyDescent="0.3">
      <c r="B4" s="11" t="s">
        <v>5</v>
      </c>
      <c r="C4" s="11">
        <v>1000</v>
      </c>
      <c r="E4" s="4"/>
      <c r="F4" s="2">
        <v>1</v>
      </c>
      <c r="G4" s="2">
        <v>-1</v>
      </c>
      <c r="H4" s="5">
        <v>-1</v>
      </c>
      <c r="J4" s="10" t="s">
        <v>13</v>
      </c>
      <c r="K4" s="10"/>
    </row>
    <row r="5" spans="2:11" ht="15.75" thickBot="1" x14ac:dyDescent="0.3">
      <c r="B5" s="11" t="s">
        <v>6</v>
      </c>
      <c r="C5" s="11">
        <v>20</v>
      </c>
      <c r="E5" s="4" t="s">
        <v>9</v>
      </c>
      <c r="F5" s="2">
        <f>C3</f>
        <v>10</v>
      </c>
      <c r="G5" s="2">
        <f>C4</f>
        <v>1000</v>
      </c>
      <c r="H5" s="5">
        <v>0</v>
      </c>
      <c r="J5" s="11" t="s">
        <v>14</v>
      </c>
      <c r="K5" s="12">
        <f>C12</f>
        <v>0.30669975186104226</v>
      </c>
    </row>
    <row r="6" spans="2:11" ht="15.75" thickBot="1" x14ac:dyDescent="0.3">
      <c r="B6" s="11" t="s">
        <v>7</v>
      </c>
      <c r="C6" s="11">
        <v>10</v>
      </c>
      <c r="E6" s="4"/>
      <c r="F6" s="2">
        <v>0</v>
      </c>
      <c r="G6" s="2">
        <f>C4</f>
        <v>1000</v>
      </c>
      <c r="H6" s="5">
        <f>-(C5+C6)</f>
        <v>-30</v>
      </c>
      <c r="J6" s="11" t="s">
        <v>15</v>
      </c>
      <c r="K6" s="12">
        <f t="shared" ref="K6:K7" si="0">C13</f>
        <v>8.9330024813895764E-3</v>
      </c>
    </row>
    <row r="7" spans="2:11" ht="15.75" thickBot="1" x14ac:dyDescent="0.3">
      <c r="J7" s="11" t="s">
        <v>16</v>
      </c>
      <c r="K7" s="12">
        <f t="shared" si="0"/>
        <v>0.29776674937965258</v>
      </c>
    </row>
    <row r="8" spans="2:11" x14ac:dyDescent="0.25">
      <c r="B8" s="4"/>
      <c r="C8" s="6">
        <v>0</v>
      </c>
    </row>
    <row r="9" spans="2:11" x14ac:dyDescent="0.25">
      <c r="B9" s="4" t="s">
        <v>10</v>
      </c>
      <c r="C9" s="7">
        <v>12</v>
      </c>
    </row>
    <row r="10" spans="2:11" x14ac:dyDescent="0.25">
      <c r="B10" s="4"/>
      <c r="C10" s="7">
        <v>0</v>
      </c>
    </row>
    <row r="11" spans="2:11" x14ac:dyDescent="0.25">
      <c r="E11" s="4"/>
      <c r="F11" s="8">
        <f t="array" ref="F11:H13">MINVERSE(F4:H6)</f>
        <v>0.74441687344913143</v>
      </c>
      <c r="G11" s="8">
        <v>2.5558312655086856E-2</v>
      </c>
      <c r="H11" s="9">
        <v>-2.4813895781637719E-2</v>
      </c>
    </row>
    <row r="12" spans="2:11" x14ac:dyDescent="0.25">
      <c r="B12" s="4"/>
      <c r="C12" s="6">
        <f t="array" ref="C12:C14">MMULT(F11:H13,C8:C10)</f>
        <v>0.30669975186104226</v>
      </c>
      <c r="D12" s="2"/>
      <c r="E12" s="4" t="s">
        <v>11</v>
      </c>
      <c r="F12" s="8">
        <v>-7.4441687344913143E-3</v>
      </c>
      <c r="G12" s="8">
        <v>7.444168734491314E-4</v>
      </c>
      <c r="H12" s="9">
        <v>2.4813895781637717E-4</v>
      </c>
    </row>
    <row r="13" spans="2:11" x14ac:dyDescent="0.25">
      <c r="B13" s="4" t="s">
        <v>12</v>
      </c>
      <c r="C13" s="6">
        <v>8.9330024813895764E-3</v>
      </c>
      <c r="D13" s="2"/>
      <c r="E13" s="4"/>
      <c r="F13" s="8">
        <v>-0.24813895781637715</v>
      </c>
      <c r="G13" s="8">
        <v>2.4813895781637715E-2</v>
      </c>
      <c r="H13" s="9">
        <v>-2.5062034739454096E-2</v>
      </c>
    </row>
    <row r="14" spans="2:11" x14ac:dyDescent="0.25">
      <c r="B14" s="4"/>
      <c r="C14" s="6">
        <v>0.29776674937965258</v>
      </c>
      <c r="D14" s="2"/>
      <c r="E14" s="2"/>
    </row>
    <row r="15" spans="2:11" x14ac:dyDescent="0.25">
      <c r="D15" s="2"/>
      <c r="E15" s="2"/>
    </row>
    <row r="16" spans="2:11" x14ac:dyDescent="0.25">
      <c r="C16" s="2"/>
      <c r="D16" s="2"/>
      <c r="E16" s="2"/>
    </row>
    <row r="20" spans="3:5" x14ac:dyDescent="0.25">
      <c r="C20" s="2"/>
      <c r="D20" s="2"/>
      <c r="E20" s="2"/>
    </row>
    <row r="21" spans="3:5" x14ac:dyDescent="0.25">
      <c r="D21" s="2"/>
      <c r="E21" s="2"/>
    </row>
    <row r="22" spans="3:5" x14ac:dyDescent="0.25">
      <c r="D22" s="2"/>
      <c r="E22" s="2"/>
    </row>
    <row r="23" spans="3:5" x14ac:dyDescent="0.25">
      <c r="D23" s="2"/>
      <c r="E23" s="2"/>
    </row>
  </sheetData>
  <mergeCells count="2">
    <mergeCell ref="B2:C2"/>
    <mergeCell ref="J4:K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8.1</vt:lpstr>
      <vt:lpstr>8.2</vt:lpstr>
      <vt:lpstr>8.3</vt:lpstr>
      <vt:lpstr>8.1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Isaias</dc:creator>
  <cp:lastModifiedBy>Brian Isaias</cp:lastModifiedBy>
  <dcterms:created xsi:type="dcterms:W3CDTF">2025-10-28T03:16:05Z</dcterms:created>
  <dcterms:modified xsi:type="dcterms:W3CDTF">2025-10-28T03:58:16Z</dcterms:modified>
</cp:coreProperties>
</file>