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814ef5049b916cec/School Documents/Fall 2025/CHE 1311 and 1411L/1311/HW/Homework 8/"/>
    </mc:Choice>
  </mc:AlternateContent>
  <xr:revisionPtr revIDLastSave="26" documentId="11_EF0D85C7B7E43DA8A77A0672F35BD574964DC006" xr6:coauthVersionLast="47" xr6:coauthVersionMax="47" xr10:uidLastSave="{F5CFFCB3-8872-47EC-BD00-10D4E400FE7C}"/>
  <bookViews>
    <workbookView xWindow="2580" yWindow="945" windowWidth="23010" windowHeight="11295" activeTab="2" xr2:uid="{00000000-000D-0000-FFFF-FFFF00000000}"/>
  </bookViews>
  <sheets>
    <sheet name="a) sin(theta)" sheetId="1" r:id="rId1"/>
    <sheet name="b) e^x" sheetId="2" r:id="rId2"/>
    <sheet name="c) cubic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2" i="3" l="1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41" i="3"/>
  <c r="E28" i="3"/>
  <c r="E29" i="3"/>
  <c r="E30" i="3"/>
  <c r="E31" i="3"/>
  <c r="E32" i="3"/>
  <c r="E33" i="3"/>
  <c r="E36" i="3" s="1"/>
  <c r="E34" i="3"/>
  <c r="E35" i="3"/>
  <c r="E27" i="3"/>
  <c r="E18" i="3"/>
  <c r="E19" i="3"/>
  <c r="E20" i="3"/>
  <c r="E21" i="3"/>
  <c r="E17" i="3"/>
  <c r="E10" i="3"/>
  <c r="E11" i="3"/>
  <c r="E9" i="3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41" i="2"/>
  <c r="E28" i="2"/>
  <c r="E29" i="2"/>
  <c r="E30" i="2"/>
  <c r="E31" i="2"/>
  <c r="E32" i="2"/>
  <c r="E33" i="2"/>
  <c r="E34" i="2"/>
  <c r="E35" i="2"/>
  <c r="E27" i="2"/>
  <c r="E18" i="2"/>
  <c r="E19" i="2"/>
  <c r="E20" i="2"/>
  <c r="E21" i="2"/>
  <c r="E17" i="2"/>
  <c r="E10" i="2"/>
  <c r="E11" i="2"/>
  <c r="E9" i="2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41" i="1"/>
  <c r="E28" i="1"/>
  <c r="E29" i="1"/>
  <c r="E30" i="1"/>
  <c r="E31" i="1"/>
  <c r="E32" i="1"/>
  <c r="E33" i="1"/>
  <c r="E34" i="1"/>
  <c r="E35" i="1"/>
  <c r="E27" i="1"/>
  <c r="E18" i="1"/>
  <c r="E19" i="1"/>
  <c r="E20" i="1"/>
  <c r="E21" i="1"/>
  <c r="E17" i="1"/>
  <c r="E11" i="1"/>
  <c r="E10" i="1"/>
  <c r="E9" i="1"/>
  <c r="D57" i="3"/>
  <c r="D56" i="3"/>
  <c r="B56" i="3"/>
  <c r="D55" i="3"/>
  <c r="D54" i="3"/>
  <c r="B54" i="3"/>
  <c r="D53" i="3"/>
  <c r="B53" i="3"/>
  <c r="D52" i="3"/>
  <c r="D51" i="3"/>
  <c r="B51" i="3"/>
  <c r="D50" i="3"/>
  <c r="B50" i="3"/>
  <c r="D49" i="3"/>
  <c r="B49" i="3"/>
  <c r="D48" i="3"/>
  <c r="B48" i="3"/>
  <c r="D47" i="3"/>
  <c r="D46" i="3"/>
  <c r="D45" i="3"/>
  <c r="B45" i="3"/>
  <c r="D44" i="3"/>
  <c r="B44" i="3"/>
  <c r="D43" i="3"/>
  <c r="B43" i="3"/>
  <c r="D42" i="3"/>
  <c r="B42" i="3"/>
  <c r="D41" i="3"/>
  <c r="D39" i="3"/>
  <c r="B47" i="3" s="1"/>
  <c r="D35" i="3"/>
  <c r="D34" i="3"/>
  <c r="B34" i="3"/>
  <c r="D33" i="3"/>
  <c r="B33" i="3"/>
  <c r="D32" i="3"/>
  <c r="D31" i="3"/>
  <c r="D30" i="3"/>
  <c r="B30" i="3"/>
  <c r="D29" i="3"/>
  <c r="D28" i="3"/>
  <c r="B28" i="3"/>
  <c r="D27" i="3"/>
  <c r="D25" i="3"/>
  <c r="B27" i="3" s="1"/>
  <c r="D21" i="3"/>
  <c r="B21" i="3"/>
  <c r="D20" i="3"/>
  <c r="B20" i="3"/>
  <c r="D19" i="3"/>
  <c r="B19" i="3"/>
  <c r="D18" i="3"/>
  <c r="B18" i="3"/>
  <c r="D17" i="3"/>
  <c r="E22" i="3" s="1"/>
  <c r="D15" i="3"/>
  <c r="D11" i="3"/>
  <c r="D10" i="3"/>
  <c r="B10" i="3"/>
  <c r="D9" i="3"/>
  <c r="E12" i="3" s="1"/>
  <c r="B9" i="3"/>
  <c r="D7" i="3"/>
  <c r="D57" i="2"/>
  <c r="D56" i="2"/>
  <c r="B56" i="2"/>
  <c r="D55" i="2"/>
  <c r="D54" i="2"/>
  <c r="B54" i="2"/>
  <c r="D53" i="2"/>
  <c r="D52" i="2"/>
  <c r="D51" i="2"/>
  <c r="B51" i="2"/>
  <c r="D50" i="2"/>
  <c r="D49" i="2"/>
  <c r="B49" i="2"/>
  <c r="D48" i="2"/>
  <c r="D47" i="2"/>
  <c r="D46" i="2"/>
  <c r="D45" i="2"/>
  <c r="D44" i="2"/>
  <c r="D43" i="2"/>
  <c r="B43" i="2"/>
  <c r="D42" i="2"/>
  <c r="B42" i="2"/>
  <c r="D41" i="2"/>
  <c r="D39" i="2"/>
  <c r="B48" i="2" s="1"/>
  <c r="D35" i="2"/>
  <c r="B35" i="2"/>
  <c r="D34" i="2"/>
  <c r="B34" i="2"/>
  <c r="D33" i="2"/>
  <c r="D32" i="2"/>
  <c r="D31" i="2"/>
  <c r="B31" i="2"/>
  <c r="D30" i="2"/>
  <c r="B30" i="2"/>
  <c r="D29" i="2"/>
  <c r="B29" i="2"/>
  <c r="D28" i="2"/>
  <c r="B28" i="2"/>
  <c r="D27" i="2"/>
  <c r="D25" i="2"/>
  <c r="B33" i="2" s="1"/>
  <c r="D21" i="2"/>
  <c r="D20" i="2"/>
  <c r="D19" i="2"/>
  <c r="B19" i="2"/>
  <c r="D18" i="2"/>
  <c r="B18" i="2"/>
  <c r="D17" i="2"/>
  <c r="D15" i="2"/>
  <c r="D11" i="2"/>
  <c r="D10" i="2"/>
  <c r="D9" i="2"/>
  <c r="E12" i="2" s="1"/>
  <c r="D7" i="2"/>
  <c r="B9" i="2" s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39" i="1"/>
  <c r="B43" i="1" s="1"/>
  <c r="D35" i="1"/>
  <c r="D34" i="1"/>
  <c r="B34" i="1"/>
  <c r="D33" i="1"/>
  <c r="D32" i="1"/>
  <c r="D31" i="1"/>
  <c r="D30" i="1"/>
  <c r="D29" i="1"/>
  <c r="B29" i="1"/>
  <c r="D28" i="1"/>
  <c r="B28" i="1"/>
  <c r="D27" i="1"/>
  <c r="E36" i="1" s="1"/>
  <c r="D25" i="1"/>
  <c r="B33" i="1" s="1"/>
  <c r="D21" i="1"/>
  <c r="D20" i="1"/>
  <c r="D19" i="1"/>
  <c r="D18" i="1"/>
  <c r="D17" i="1"/>
  <c r="E22" i="1" s="1"/>
  <c r="D15" i="1"/>
  <c r="B19" i="1" s="1"/>
  <c r="D11" i="1"/>
  <c r="D10" i="1"/>
  <c r="D9" i="1"/>
  <c r="E12" i="1" s="1"/>
  <c r="B4" i="1"/>
  <c r="D7" i="1" s="1"/>
  <c r="E58" i="3" l="1"/>
  <c r="E59" i="3" s="1"/>
  <c r="E58" i="2"/>
  <c r="E36" i="2"/>
  <c r="E37" i="2" s="1"/>
  <c r="E22" i="2"/>
  <c r="E58" i="1"/>
  <c r="E23" i="3"/>
  <c r="B9" i="1"/>
  <c r="E13" i="1"/>
  <c r="B11" i="1"/>
  <c r="B10" i="1"/>
  <c r="E23" i="2"/>
  <c r="E13" i="3"/>
  <c r="B46" i="1"/>
  <c r="B48" i="1"/>
  <c r="B49" i="1"/>
  <c r="B55" i="1"/>
  <c r="B44" i="2"/>
  <c r="B54" i="1"/>
  <c r="B44" i="1"/>
  <c r="B35" i="1"/>
  <c r="B20" i="2"/>
  <c r="B21" i="1"/>
  <c r="B55" i="2"/>
  <c r="B56" i="1"/>
  <c r="B50" i="2"/>
  <c r="B20" i="1"/>
  <c r="B10" i="2"/>
  <c r="B30" i="1"/>
  <c r="B50" i="1"/>
  <c r="B45" i="1"/>
  <c r="B11" i="2"/>
  <c r="B29" i="3"/>
  <c r="B31" i="1"/>
  <c r="E37" i="1"/>
  <c r="B51" i="1"/>
  <c r="B21" i="2"/>
  <c r="B45" i="2"/>
  <c r="B11" i="3"/>
  <c r="B35" i="3"/>
  <c r="B55" i="3"/>
  <c r="B17" i="1"/>
  <c r="E23" i="1"/>
  <c r="B41" i="1"/>
  <c r="B57" i="1"/>
  <c r="E13" i="2"/>
  <c r="B32" i="1"/>
  <c r="B52" i="1"/>
  <c r="B46" i="2"/>
  <c r="B27" i="1"/>
  <c r="B47" i="1"/>
  <c r="B17" i="2"/>
  <c r="B41" i="2"/>
  <c r="B57" i="2"/>
  <c r="B31" i="3"/>
  <c r="E37" i="3"/>
  <c r="B18" i="1"/>
  <c r="B42" i="1"/>
  <c r="B32" i="2"/>
  <c r="B52" i="2"/>
  <c r="B46" i="3"/>
  <c r="B53" i="1"/>
  <c r="E59" i="1"/>
  <c r="B27" i="2"/>
  <c r="B47" i="2"/>
  <c r="B17" i="3"/>
  <c r="B41" i="3"/>
  <c r="B57" i="3"/>
  <c r="B32" i="3"/>
  <c r="B52" i="3"/>
  <c r="B53" i="2"/>
  <c r="E59" i="2"/>
</calcChain>
</file>

<file path=xl/sharedStrings.xml><?xml version="1.0" encoding="utf-8"?>
<sst xmlns="http://schemas.openxmlformats.org/spreadsheetml/2006/main" count="225" uniqueCount="120">
  <si>
    <t>Trapezoidal Rule for a) sin(theta)</t>
  </si>
  <si>
    <t>Lower limit a</t>
  </si>
  <si>
    <t>Upper limit b</t>
  </si>
  <si>
    <t>Function f(x)</t>
  </si>
  <si>
    <t>SIN(B)</t>
  </si>
  <si>
    <t>n</t>
  </si>
  <si>
    <t>h</t>
  </si>
  <si>
    <t>i</t>
  </si>
  <si>
    <t>x_i</t>
  </si>
  <si>
    <t>f(x_i)</t>
  </si>
  <si>
    <t>weight</t>
  </si>
  <si>
    <t>weight * f(x_i)</t>
  </si>
  <si>
    <t>SIN(B9)</t>
  </si>
  <si>
    <t>SIN(B10)</t>
  </si>
  <si>
    <t>SIN(B11)</t>
  </si>
  <si>
    <t>TOTAL</t>
  </si>
  <si>
    <t>Trapezoidal Approx</t>
  </si>
  <si>
    <t>SIN(B17)</t>
  </si>
  <si>
    <t>SIN(B18)</t>
  </si>
  <si>
    <t>SIN(B19)</t>
  </si>
  <si>
    <t>SIN(B20)</t>
  </si>
  <si>
    <t>SIN(B21)</t>
  </si>
  <si>
    <t>SIN(B27)</t>
  </si>
  <si>
    <t>SIN(B28)</t>
  </si>
  <si>
    <t>SIN(B29)</t>
  </si>
  <si>
    <t>SIN(B30)</t>
  </si>
  <si>
    <t>SIN(B31)</t>
  </si>
  <si>
    <t>SIN(B32)</t>
  </si>
  <si>
    <t>SIN(B33)</t>
  </si>
  <si>
    <t>SIN(B34)</t>
  </si>
  <si>
    <t>SIN(B35)</t>
  </si>
  <si>
    <t>SIN(B41)</t>
  </si>
  <si>
    <t>SIN(B42)</t>
  </si>
  <si>
    <t>SIN(B43)</t>
  </si>
  <si>
    <t>SIN(B44)</t>
  </si>
  <si>
    <t>SIN(B45)</t>
  </si>
  <si>
    <t>SIN(B46)</t>
  </si>
  <si>
    <t>SIN(B47)</t>
  </si>
  <si>
    <t>SIN(B48)</t>
  </si>
  <si>
    <t>SIN(B49)</t>
  </si>
  <si>
    <t>SIN(B50)</t>
  </si>
  <si>
    <t>SIN(B51)</t>
  </si>
  <si>
    <t>SIN(B52)</t>
  </si>
  <si>
    <t>SIN(B53)</t>
  </si>
  <si>
    <t>SIN(B54)</t>
  </si>
  <si>
    <t>SIN(B55)</t>
  </si>
  <si>
    <t>SIN(B56)</t>
  </si>
  <si>
    <t>SIN(B57)</t>
  </si>
  <si>
    <t>Trapezoidal Rule for b) e^x</t>
  </si>
  <si>
    <t>EXP(B)</t>
  </si>
  <si>
    <t>EXP(B9)</t>
  </si>
  <si>
    <t>EXP(B10)</t>
  </si>
  <si>
    <t>EXP(B11)</t>
  </si>
  <si>
    <t>EXP(B17)</t>
  </si>
  <si>
    <t>EXP(B18)</t>
  </si>
  <si>
    <t>EXP(B19)</t>
  </si>
  <si>
    <t>EXP(B20)</t>
  </si>
  <si>
    <t>EXP(B21)</t>
  </si>
  <si>
    <t>EXP(B27)</t>
  </si>
  <si>
    <t>EXP(B28)</t>
  </si>
  <si>
    <t>EXP(B29)</t>
  </si>
  <si>
    <t>EXP(B30)</t>
  </si>
  <si>
    <t>EXP(B31)</t>
  </si>
  <si>
    <t>EXP(B32)</t>
  </si>
  <si>
    <t>EXP(B33)</t>
  </si>
  <si>
    <t>EXP(B34)</t>
  </si>
  <si>
    <t>EXP(B35)</t>
  </si>
  <si>
    <t>EXP(B41)</t>
  </si>
  <si>
    <t>EXP(B42)</t>
  </si>
  <si>
    <t>EXP(B43)</t>
  </si>
  <si>
    <t>EXP(B44)</t>
  </si>
  <si>
    <t>EXP(B45)</t>
  </si>
  <si>
    <t>EXP(B46)</t>
  </si>
  <si>
    <t>EXP(B47)</t>
  </si>
  <si>
    <t>EXP(B48)</t>
  </si>
  <si>
    <t>EXP(B49)</t>
  </si>
  <si>
    <t>EXP(B50)</t>
  </si>
  <si>
    <t>EXP(B51)</t>
  </si>
  <si>
    <t>EXP(B52)</t>
  </si>
  <si>
    <t>EXP(B53)</t>
  </si>
  <si>
    <t>EXP(B54)</t>
  </si>
  <si>
    <t>EXP(B55)</t>
  </si>
  <si>
    <t>EXP(B56)</t>
  </si>
  <si>
    <t>EXP(B57)</t>
  </si>
  <si>
    <t>Trapezoidal Rule for c) cubic</t>
  </si>
  <si>
    <t>(B^3 + 3*B^2 - 20)</t>
  </si>
  <si>
    <t>(B9^3 + 3*B9^2 - 20)</t>
  </si>
  <si>
    <t>(B10^3 + 3*B10^2 - 20)</t>
  </si>
  <si>
    <t>(B11^3 + 3*B11^2 - 20)</t>
  </si>
  <si>
    <t>(B17^3 + 3*B17^2 - 20)</t>
  </si>
  <si>
    <t>(B18^3 + 3*B18^2 - 20)</t>
  </si>
  <si>
    <t>(B19^3 + 3*B19^2 - 20)</t>
  </si>
  <si>
    <t>(B20^3 + 3*B20^2 - 20)</t>
  </si>
  <si>
    <t>(B21^3 + 3*B21^2 - 20)</t>
  </si>
  <si>
    <t>(B27^3 + 3*B27^2 - 20)</t>
  </si>
  <si>
    <t>(B28^3 + 3*B28^2 - 20)</t>
  </si>
  <si>
    <t>(B29^3 + 3*B29^2 - 20)</t>
  </si>
  <si>
    <t>(B30^3 + 3*B30^2 - 20)</t>
  </si>
  <si>
    <t>(B31^3 + 3*B31^2 - 20)</t>
  </si>
  <si>
    <t>(B32^3 + 3*B32^2 - 20)</t>
  </si>
  <si>
    <t>(B33^3 + 3*B33^2 - 20)</t>
  </si>
  <si>
    <t>(B34^3 + 3*B34^2 - 20)</t>
  </si>
  <si>
    <t>(B35^3 + 3*B35^2 - 20)</t>
  </si>
  <si>
    <t>(B41^3 + 3*B41^2 - 20)</t>
  </si>
  <si>
    <t>(B42^3 + 3*B42^2 - 20)</t>
  </si>
  <si>
    <t>(B43^3 + 3*B43^2 - 20)</t>
  </si>
  <si>
    <t>(B44^3 + 3*B44^2 - 20)</t>
  </si>
  <si>
    <t>(B45^3 + 3*B45^2 - 20)</t>
  </si>
  <si>
    <t>(B46^3 + 3*B46^2 - 20)</t>
  </si>
  <si>
    <t>(B47^3 + 3*B47^2 - 20)</t>
  </si>
  <si>
    <t>(B48^3 + 3*B48^2 - 20)</t>
  </si>
  <si>
    <t>(B49^3 + 3*B49^2 - 20)</t>
  </si>
  <si>
    <t>(B50^3 + 3*B50^2 - 20)</t>
  </si>
  <si>
    <t>(B51^3 + 3*B51^2 - 20)</t>
  </si>
  <si>
    <t>(B52^3 + 3*B52^2 - 20)</t>
  </si>
  <si>
    <t>(B53^3 + 3*B53^2 - 20)</t>
  </si>
  <si>
    <t>(B54^3 + 3*B54^2 - 20)</t>
  </si>
  <si>
    <t>(B55^3 + 3*B55^2 - 20)</t>
  </si>
  <si>
    <t>(B56^3 + 3*B56^2 - 20)</t>
  </si>
  <si>
    <t>(B57^3 + 3*B57^2 - 20)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</si>
</sst>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9"/>
  <sheetViews>
    <sheetView topLeftCell="A61" workbookViewId="0">
      <selection activeCell="E37" sqref="E37"/>
    </sheetView>
  </sheetViews>
  <sheetFormatPr defaultRowHeight="15" x14ac:dyDescent="0.25"/>
  <sheetData>
    <row r="1" spans="1:5" x14ac:dyDescent="0.25">
      <c r="A1" t="s">
        <v>0</v>
      </c>
    </row>
    <row r="3" spans="1:5" x14ac:dyDescent="0.25">
      <c r="A3" t="s">
        <v>1</v>
      </c>
      <c r="B3">
        <v>0</v>
      </c>
    </row>
    <row r="4" spans="1:5" x14ac:dyDescent="0.25">
      <c r="A4" t="s">
        <v>2</v>
      </c>
      <c r="B4">
        <f>PI()</f>
        <v>3.1415926535897931</v>
      </c>
    </row>
    <row r="5" spans="1:5" x14ac:dyDescent="0.25">
      <c r="A5" t="s">
        <v>3</v>
      </c>
      <c r="B5" t="s">
        <v>4</v>
      </c>
    </row>
    <row r="7" spans="1:5" x14ac:dyDescent="0.25">
      <c r="A7" t="s">
        <v>5</v>
      </c>
      <c r="B7">
        <v>2</v>
      </c>
      <c r="C7" t="s">
        <v>6</v>
      </c>
      <c r="D7">
        <f>($B$4-$B$3)/B7</f>
        <v>1.5707963267948966</v>
      </c>
    </row>
    <row r="8" spans="1:5" x14ac:dyDescent="0.25">
      <c r="A8" t="s">
        <v>7</v>
      </c>
      <c r="B8" t="s">
        <v>8</v>
      </c>
      <c r="C8" t="s">
        <v>9</v>
      </c>
      <c r="D8" t="s">
        <v>10</v>
      </c>
      <c r="E8" t="s">
        <v>11</v>
      </c>
    </row>
    <row r="9" spans="1:5" x14ac:dyDescent="0.25">
      <c r="A9">
        <v>0</v>
      </c>
      <c r="B9">
        <f>$B$3 + A9*$D$7</f>
        <v>0</v>
      </c>
      <c r="C9" t="s">
        <v>12</v>
      </c>
      <c r="D9">
        <f>IF(OR(A9=0,A9=B7),1,2)</f>
        <v>1</v>
      </c>
      <c r="E9">
        <f>B9*D9</f>
        <v>0</v>
      </c>
    </row>
    <row r="10" spans="1:5" x14ac:dyDescent="0.25">
      <c r="A10">
        <v>1</v>
      </c>
      <c r="B10">
        <f>$B$3 + A10*$D$7</f>
        <v>1.5707963267948966</v>
      </c>
      <c r="C10" t="s">
        <v>13</v>
      </c>
      <c r="D10">
        <f>IF(OR(A10=0,A10=B7),1,2)</f>
        <v>2</v>
      </c>
      <c r="E10">
        <f>B10*D10</f>
        <v>3.1415926535897931</v>
      </c>
    </row>
    <row r="11" spans="1:5" x14ac:dyDescent="0.25">
      <c r="A11">
        <v>2</v>
      </c>
      <c r="B11">
        <f>$B$3 + A11*$D$7</f>
        <v>3.1415926535897931</v>
      </c>
      <c r="C11" t="s">
        <v>14</v>
      </c>
      <c r="D11">
        <f>IF(OR(A11=0,A11=B7),1,2)</f>
        <v>1</v>
      </c>
      <c r="E11">
        <f>B11*D11</f>
        <v>3.1415926535897931</v>
      </c>
    </row>
    <row r="12" spans="1:5" x14ac:dyDescent="0.25">
      <c r="D12" t="s">
        <v>15</v>
      </c>
      <c r="E12">
        <f>SUM(E9:E11)</f>
        <v>6.2831853071795862</v>
      </c>
    </row>
    <row r="13" spans="1:5" x14ac:dyDescent="0.25">
      <c r="D13" t="s">
        <v>16</v>
      </c>
      <c r="E13">
        <f>$D$7/2*E12</f>
        <v>4.934802200544679</v>
      </c>
    </row>
    <row r="15" spans="1:5" x14ac:dyDescent="0.25">
      <c r="A15" t="s">
        <v>5</v>
      </c>
      <c r="B15">
        <v>4</v>
      </c>
      <c r="C15" t="s">
        <v>6</v>
      </c>
      <c r="D15">
        <f>($B$4-$B$3)/B15</f>
        <v>0.78539816339744828</v>
      </c>
    </row>
    <row r="16" spans="1:5" x14ac:dyDescent="0.25">
      <c r="A16" t="s">
        <v>7</v>
      </c>
      <c r="B16" t="s">
        <v>8</v>
      </c>
      <c r="C16" t="s">
        <v>9</v>
      </c>
      <c r="D16" t="s">
        <v>10</v>
      </c>
      <c r="E16" t="s">
        <v>11</v>
      </c>
    </row>
    <row r="17" spans="1:5" x14ac:dyDescent="0.25">
      <c r="A17">
        <v>0</v>
      </c>
      <c r="B17">
        <f>$B$3 + A17*$D$15</f>
        <v>0</v>
      </c>
      <c r="C17" t="s">
        <v>17</v>
      </c>
      <c r="D17">
        <f>IF(OR(A17=0,A17=B15),1,2)</f>
        <v>1</v>
      </c>
      <c r="E17">
        <f>B17*D17</f>
        <v>0</v>
      </c>
    </row>
    <row r="18" spans="1:5" x14ac:dyDescent="0.25">
      <c r="A18">
        <v>1</v>
      </c>
      <c r="B18">
        <f>$B$3 + A18*$D$15</f>
        <v>0.78539816339744828</v>
      </c>
      <c r="C18" t="s">
        <v>18</v>
      </c>
      <c r="D18">
        <f>IF(OR(A18=0,A18=B15),1,2)</f>
        <v>2</v>
      </c>
      <c r="E18">
        <f t="shared" ref="E18:E21" si="0">B18*D18</f>
        <v>1.5707963267948966</v>
      </c>
    </row>
    <row r="19" spans="1:5" x14ac:dyDescent="0.25">
      <c r="A19">
        <v>2</v>
      </c>
      <c r="B19">
        <f>$B$3 + A19*$D$15</f>
        <v>1.5707963267948966</v>
      </c>
      <c r="C19" t="s">
        <v>19</v>
      </c>
      <c r="D19">
        <f>IF(OR(A19=0,A19=B15),1,2)</f>
        <v>2</v>
      </c>
      <c r="E19">
        <f t="shared" si="0"/>
        <v>3.1415926535897931</v>
      </c>
    </row>
    <row r="20" spans="1:5" x14ac:dyDescent="0.25">
      <c r="A20">
        <v>3</v>
      </c>
      <c r="B20">
        <f>$B$3 + A20*$D$15</f>
        <v>2.3561944901923448</v>
      </c>
      <c r="C20" t="s">
        <v>20</v>
      </c>
      <c r="D20">
        <f>IF(OR(A20=0,A20=B15),1,2)</f>
        <v>2</v>
      </c>
      <c r="E20">
        <f t="shared" si="0"/>
        <v>4.7123889803846897</v>
      </c>
    </row>
    <row r="21" spans="1:5" x14ac:dyDescent="0.25">
      <c r="A21">
        <v>4</v>
      </c>
      <c r="B21">
        <f>$B$3 + A21*$D$15</f>
        <v>3.1415926535897931</v>
      </c>
      <c r="C21" t="s">
        <v>21</v>
      </c>
      <c r="D21">
        <f>IF(OR(A21=0,A21=B15),1,2)</f>
        <v>1</v>
      </c>
      <c r="E21">
        <f t="shared" si="0"/>
        <v>3.1415926535897931</v>
      </c>
    </row>
    <row r="22" spans="1:5" x14ac:dyDescent="0.25">
      <c r="D22" t="s">
        <v>15</v>
      </c>
      <c r="E22">
        <f>SUM(E17:E21)</f>
        <v>12.566370614359172</v>
      </c>
    </row>
    <row r="23" spans="1:5" x14ac:dyDescent="0.25">
      <c r="D23" t="s">
        <v>16</v>
      </c>
      <c r="E23">
        <f>$D$15/2*E22</f>
        <v>4.934802200544679</v>
      </c>
    </row>
    <row r="25" spans="1:5" x14ac:dyDescent="0.25">
      <c r="A25" t="s">
        <v>5</v>
      </c>
      <c r="B25">
        <v>8</v>
      </c>
      <c r="C25" t="s">
        <v>6</v>
      </c>
      <c r="D25">
        <f>($B$4-$B$3)/B25</f>
        <v>0.39269908169872414</v>
      </c>
    </row>
    <row r="26" spans="1:5" x14ac:dyDescent="0.25">
      <c r="A26" t="s">
        <v>7</v>
      </c>
      <c r="B26" t="s">
        <v>8</v>
      </c>
      <c r="C26" t="s">
        <v>9</v>
      </c>
      <c r="D26" t="s">
        <v>10</v>
      </c>
      <c r="E26" t="s">
        <v>11</v>
      </c>
    </row>
    <row r="27" spans="1:5" x14ac:dyDescent="0.25">
      <c r="A27">
        <v>0</v>
      </c>
      <c r="B27">
        <f t="shared" ref="B27:B35" si="1">$B$3 + A27*$D$25</f>
        <v>0</v>
      </c>
      <c r="C27" t="s">
        <v>22</v>
      </c>
      <c r="D27">
        <f>IF(OR(A27=0,A27=B25),1,2)</f>
        <v>1</v>
      </c>
      <c r="E27">
        <f>B27*D27</f>
        <v>0</v>
      </c>
    </row>
    <row r="28" spans="1:5" x14ac:dyDescent="0.25">
      <c r="A28">
        <v>1</v>
      </c>
      <c r="B28">
        <f t="shared" si="1"/>
        <v>0.39269908169872414</v>
      </c>
      <c r="C28" t="s">
        <v>23</v>
      </c>
      <c r="D28">
        <f>IF(OR(A28=0,A28=B25),1,2)</f>
        <v>2</v>
      </c>
      <c r="E28">
        <f t="shared" ref="E28:E35" si="2">B28*D28</f>
        <v>0.78539816339744828</v>
      </c>
    </row>
    <row r="29" spans="1:5" x14ac:dyDescent="0.25">
      <c r="A29">
        <v>2</v>
      </c>
      <c r="B29">
        <f t="shared" si="1"/>
        <v>0.78539816339744828</v>
      </c>
      <c r="C29" t="s">
        <v>24</v>
      </c>
      <c r="D29">
        <f>IF(OR(A29=0,A29=B25),1,2)</f>
        <v>2</v>
      </c>
      <c r="E29">
        <f t="shared" si="2"/>
        <v>1.5707963267948966</v>
      </c>
    </row>
    <row r="30" spans="1:5" x14ac:dyDescent="0.25">
      <c r="A30">
        <v>3</v>
      </c>
      <c r="B30">
        <f t="shared" si="1"/>
        <v>1.1780972450961724</v>
      </c>
      <c r="C30" t="s">
        <v>25</v>
      </c>
      <c r="D30">
        <f>IF(OR(A30=0,A30=B25),1,2)</f>
        <v>2</v>
      </c>
      <c r="E30">
        <f t="shared" si="2"/>
        <v>2.3561944901923448</v>
      </c>
    </row>
    <row r="31" spans="1:5" x14ac:dyDescent="0.25">
      <c r="A31">
        <v>4</v>
      </c>
      <c r="B31">
        <f t="shared" si="1"/>
        <v>1.5707963267948966</v>
      </c>
      <c r="C31" t="s">
        <v>26</v>
      </c>
      <c r="D31">
        <f>IF(OR(A31=0,A31=B25),1,2)</f>
        <v>2</v>
      </c>
      <c r="E31">
        <f t="shared" si="2"/>
        <v>3.1415926535897931</v>
      </c>
    </row>
    <row r="32" spans="1:5" x14ac:dyDescent="0.25">
      <c r="A32">
        <v>5</v>
      </c>
      <c r="B32">
        <f t="shared" si="1"/>
        <v>1.9634954084936207</v>
      </c>
      <c r="C32" t="s">
        <v>27</v>
      </c>
      <c r="D32">
        <f>IF(OR(A32=0,A32=B25),1,2)</f>
        <v>2</v>
      </c>
      <c r="E32">
        <f t="shared" si="2"/>
        <v>3.9269908169872414</v>
      </c>
    </row>
    <row r="33" spans="1:5" x14ac:dyDescent="0.25">
      <c r="A33">
        <v>6</v>
      </c>
      <c r="B33">
        <f t="shared" si="1"/>
        <v>2.3561944901923448</v>
      </c>
      <c r="C33" t="s">
        <v>28</v>
      </c>
      <c r="D33">
        <f>IF(OR(A33=0,A33=B25),1,2)</f>
        <v>2</v>
      </c>
      <c r="E33">
        <f t="shared" si="2"/>
        <v>4.7123889803846897</v>
      </c>
    </row>
    <row r="34" spans="1:5" x14ac:dyDescent="0.25">
      <c r="A34">
        <v>7</v>
      </c>
      <c r="B34">
        <f t="shared" si="1"/>
        <v>2.748893571891069</v>
      </c>
      <c r="C34" t="s">
        <v>29</v>
      </c>
      <c r="D34">
        <f>IF(OR(A34=0,A34=B25),1,2)</f>
        <v>2</v>
      </c>
      <c r="E34">
        <f t="shared" si="2"/>
        <v>5.497787143782138</v>
      </c>
    </row>
    <row r="35" spans="1:5" x14ac:dyDescent="0.25">
      <c r="A35">
        <v>8</v>
      </c>
      <c r="B35">
        <f t="shared" si="1"/>
        <v>3.1415926535897931</v>
      </c>
      <c r="C35" t="s">
        <v>30</v>
      </c>
      <c r="D35">
        <f>IF(OR(A35=0,A35=B25),1,2)</f>
        <v>1</v>
      </c>
      <c r="E35">
        <f t="shared" si="2"/>
        <v>3.1415926535897931</v>
      </c>
    </row>
    <row r="36" spans="1:5" x14ac:dyDescent="0.25">
      <c r="D36" t="s">
        <v>15</v>
      </c>
      <c r="E36">
        <f>SUM(E27:E35)</f>
        <v>25.132741228718345</v>
      </c>
    </row>
    <row r="37" spans="1:5" x14ac:dyDescent="0.25">
      <c r="D37" t="s">
        <v>16</v>
      </c>
      <c r="E37">
        <f>$D$25/2*E36</f>
        <v>4.934802200544679</v>
      </c>
    </row>
    <row r="39" spans="1:5" x14ac:dyDescent="0.25">
      <c r="A39" t="s">
        <v>5</v>
      </c>
      <c r="B39">
        <v>16</v>
      </c>
      <c r="C39" t="s">
        <v>6</v>
      </c>
      <c r="D39">
        <f>($B$4-$B$3)/B39</f>
        <v>0.19634954084936207</v>
      </c>
    </row>
    <row r="40" spans="1:5" x14ac:dyDescent="0.25">
      <c r="A40" t="s">
        <v>7</v>
      </c>
      <c r="B40" t="s">
        <v>8</v>
      </c>
      <c r="C40" t="s">
        <v>9</v>
      </c>
      <c r="D40" t="s">
        <v>10</v>
      </c>
      <c r="E40" t="s">
        <v>11</v>
      </c>
    </row>
    <row r="41" spans="1:5" x14ac:dyDescent="0.25">
      <c r="A41">
        <v>0</v>
      </c>
      <c r="B41">
        <f t="shared" ref="B41:B57" si="3">$B$3 + A41*$D$39</f>
        <v>0</v>
      </c>
      <c r="C41" t="s">
        <v>31</v>
      </c>
      <c r="D41">
        <f>IF(OR(A41=0,A41=B39),1,2)</f>
        <v>1</v>
      </c>
      <c r="E41">
        <f>B41*D41</f>
        <v>0</v>
      </c>
    </row>
    <row r="42" spans="1:5" x14ac:dyDescent="0.25">
      <c r="A42">
        <v>1</v>
      </c>
      <c r="B42">
        <f t="shared" si="3"/>
        <v>0.19634954084936207</v>
      </c>
      <c r="C42" t="s">
        <v>32</v>
      </c>
      <c r="D42">
        <f>IF(OR(A42=0,A42=B39),1,2)</f>
        <v>2</v>
      </c>
      <c r="E42">
        <f t="shared" ref="E42:E57" si="4">B42*D42</f>
        <v>0.39269908169872414</v>
      </c>
    </row>
    <row r="43" spans="1:5" x14ac:dyDescent="0.25">
      <c r="A43">
        <v>2</v>
      </c>
      <c r="B43">
        <f t="shared" si="3"/>
        <v>0.39269908169872414</v>
      </c>
      <c r="C43" t="s">
        <v>33</v>
      </c>
      <c r="D43">
        <f>IF(OR(A43=0,A43=B39),1,2)</f>
        <v>2</v>
      </c>
      <c r="E43">
        <f t="shared" si="4"/>
        <v>0.78539816339744828</v>
      </c>
    </row>
    <row r="44" spans="1:5" x14ac:dyDescent="0.25">
      <c r="A44">
        <v>3</v>
      </c>
      <c r="B44">
        <f t="shared" si="3"/>
        <v>0.58904862254808621</v>
      </c>
      <c r="C44" t="s">
        <v>34</v>
      </c>
      <c r="D44">
        <f>IF(OR(A44=0,A44=B39),1,2)</f>
        <v>2</v>
      </c>
      <c r="E44">
        <f t="shared" si="4"/>
        <v>1.1780972450961724</v>
      </c>
    </row>
    <row r="45" spans="1:5" x14ac:dyDescent="0.25">
      <c r="A45">
        <v>4</v>
      </c>
      <c r="B45">
        <f t="shared" si="3"/>
        <v>0.78539816339744828</v>
      </c>
      <c r="C45" t="s">
        <v>35</v>
      </c>
      <c r="D45">
        <f>IF(OR(A45=0,A45=B39),1,2)</f>
        <v>2</v>
      </c>
      <c r="E45">
        <f t="shared" si="4"/>
        <v>1.5707963267948966</v>
      </c>
    </row>
    <row r="46" spans="1:5" x14ac:dyDescent="0.25">
      <c r="A46">
        <v>5</v>
      </c>
      <c r="B46">
        <f t="shared" si="3"/>
        <v>0.98174770424681035</v>
      </c>
      <c r="C46" t="s">
        <v>36</v>
      </c>
      <c r="D46">
        <f>IF(OR(A46=0,A46=B39),1,2)</f>
        <v>2</v>
      </c>
      <c r="E46">
        <f t="shared" si="4"/>
        <v>1.9634954084936207</v>
      </c>
    </row>
    <row r="47" spans="1:5" x14ac:dyDescent="0.25">
      <c r="A47">
        <v>6</v>
      </c>
      <c r="B47">
        <f t="shared" si="3"/>
        <v>1.1780972450961724</v>
      </c>
      <c r="C47" t="s">
        <v>37</v>
      </c>
      <c r="D47">
        <f>IF(OR(A47=0,A47=B39),1,2)</f>
        <v>2</v>
      </c>
      <c r="E47">
        <f t="shared" si="4"/>
        <v>2.3561944901923448</v>
      </c>
    </row>
    <row r="48" spans="1:5" x14ac:dyDescent="0.25">
      <c r="A48">
        <v>7</v>
      </c>
      <c r="B48">
        <f t="shared" si="3"/>
        <v>1.3744467859455345</v>
      </c>
      <c r="C48" t="s">
        <v>38</v>
      </c>
      <c r="D48">
        <f>IF(OR(A48=0,A48=B39),1,2)</f>
        <v>2</v>
      </c>
      <c r="E48">
        <f t="shared" si="4"/>
        <v>2.748893571891069</v>
      </c>
    </row>
    <row r="49" spans="1:5" x14ac:dyDescent="0.25">
      <c r="A49">
        <v>8</v>
      </c>
      <c r="B49">
        <f t="shared" si="3"/>
        <v>1.5707963267948966</v>
      </c>
      <c r="C49" t="s">
        <v>39</v>
      </c>
      <c r="D49">
        <f>IF(OR(A49=0,A49=B39),1,2)</f>
        <v>2</v>
      </c>
      <c r="E49">
        <f t="shared" si="4"/>
        <v>3.1415926535897931</v>
      </c>
    </row>
    <row r="50" spans="1:5" x14ac:dyDescent="0.25">
      <c r="A50">
        <v>9</v>
      </c>
      <c r="B50">
        <f t="shared" si="3"/>
        <v>1.7671458676442586</v>
      </c>
      <c r="C50" t="s">
        <v>40</v>
      </c>
      <c r="D50">
        <f>IF(OR(A50=0,A50=B39),1,2)</f>
        <v>2</v>
      </c>
      <c r="E50">
        <f t="shared" si="4"/>
        <v>3.5342917352885173</v>
      </c>
    </row>
    <row r="51" spans="1:5" x14ac:dyDescent="0.25">
      <c r="A51">
        <v>10</v>
      </c>
      <c r="B51">
        <f t="shared" si="3"/>
        <v>1.9634954084936207</v>
      </c>
      <c r="C51" t="s">
        <v>41</v>
      </c>
      <c r="D51">
        <f>IF(OR(A51=0,A51=B39),1,2)</f>
        <v>2</v>
      </c>
      <c r="E51">
        <f t="shared" si="4"/>
        <v>3.9269908169872414</v>
      </c>
    </row>
    <row r="52" spans="1:5" x14ac:dyDescent="0.25">
      <c r="A52">
        <v>11</v>
      </c>
      <c r="B52">
        <f t="shared" si="3"/>
        <v>2.1598449493429825</v>
      </c>
      <c r="C52" t="s">
        <v>42</v>
      </c>
      <c r="D52">
        <f>IF(OR(A52=0,A52=B39),1,2)</f>
        <v>2</v>
      </c>
      <c r="E52">
        <f t="shared" si="4"/>
        <v>4.3196898986859651</v>
      </c>
    </row>
    <row r="53" spans="1:5" x14ac:dyDescent="0.25">
      <c r="A53">
        <v>12</v>
      </c>
      <c r="B53">
        <f t="shared" si="3"/>
        <v>2.3561944901923448</v>
      </c>
      <c r="C53" t="s">
        <v>43</v>
      </c>
      <c r="D53">
        <f>IF(OR(A53=0,A53=B39),1,2)</f>
        <v>2</v>
      </c>
      <c r="E53">
        <f t="shared" si="4"/>
        <v>4.7123889803846897</v>
      </c>
    </row>
    <row r="54" spans="1:5" x14ac:dyDescent="0.25">
      <c r="A54">
        <v>13</v>
      </c>
      <c r="B54">
        <f t="shared" si="3"/>
        <v>2.5525440310417071</v>
      </c>
      <c r="C54" t="s">
        <v>44</v>
      </c>
      <c r="D54">
        <f>IF(OR(A54=0,A54=B39),1,2)</f>
        <v>2</v>
      </c>
      <c r="E54">
        <f t="shared" si="4"/>
        <v>5.1050880620834143</v>
      </c>
    </row>
    <row r="55" spans="1:5" x14ac:dyDescent="0.25">
      <c r="A55">
        <v>14</v>
      </c>
      <c r="B55">
        <f t="shared" si="3"/>
        <v>2.748893571891069</v>
      </c>
      <c r="C55" t="s">
        <v>45</v>
      </c>
      <c r="D55">
        <f>IF(OR(A55=0,A55=B39),1,2)</f>
        <v>2</v>
      </c>
      <c r="E55">
        <f t="shared" si="4"/>
        <v>5.497787143782138</v>
      </c>
    </row>
    <row r="56" spans="1:5" x14ac:dyDescent="0.25">
      <c r="A56">
        <v>15</v>
      </c>
      <c r="B56">
        <f t="shared" si="3"/>
        <v>2.9452431127404308</v>
      </c>
      <c r="C56" t="s">
        <v>46</v>
      </c>
      <c r="D56">
        <f>IF(OR(A56=0,A56=B39),1,2)</f>
        <v>2</v>
      </c>
      <c r="E56">
        <f t="shared" si="4"/>
        <v>5.8904862254808616</v>
      </c>
    </row>
    <row r="57" spans="1:5" x14ac:dyDescent="0.25">
      <c r="A57">
        <v>16</v>
      </c>
      <c r="B57">
        <f t="shared" si="3"/>
        <v>3.1415926535897931</v>
      </c>
      <c r="C57" t="s">
        <v>47</v>
      </c>
      <c r="D57">
        <f>IF(OR(A57=0,A57=B39),1,2)</f>
        <v>1</v>
      </c>
      <c r="E57">
        <f t="shared" si="4"/>
        <v>3.1415926535897931</v>
      </c>
    </row>
    <row r="58" spans="1:5" x14ac:dyDescent="0.25">
      <c r="D58" t="s">
        <v>15</v>
      </c>
      <c r="E58">
        <f>SUM(E41:E57)</f>
        <v>50.265482457436704</v>
      </c>
    </row>
    <row r="59" spans="1:5" x14ac:dyDescent="0.25">
      <c r="D59" t="s">
        <v>16</v>
      </c>
      <c r="E59">
        <f>$D$39/2*E58</f>
        <v>4.9348022005446799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59"/>
  <sheetViews>
    <sheetView topLeftCell="A47" workbookViewId="0">
      <selection activeCell="E41" sqref="E41:E57"/>
    </sheetView>
  </sheetViews>
  <sheetFormatPr defaultRowHeight="15" x14ac:dyDescent="0.25"/>
  <sheetData>
    <row r="1" spans="1:5" x14ac:dyDescent="0.25">
      <c r="A1" t="s">
        <v>48</v>
      </c>
    </row>
    <row r="3" spans="1:5" x14ac:dyDescent="0.25">
      <c r="A3" t="s">
        <v>1</v>
      </c>
      <c r="B3">
        <v>0</v>
      </c>
    </row>
    <row r="4" spans="1:5" x14ac:dyDescent="0.25">
      <c r="A4" t="s">
        <v>2</v>
      </c>
      <c r="B4">
        <v>2</v>
      </c>
    </row>
    <row r="5" spans="1:5" x14ac:dyDescent="0.25">
      <c r="A5" t="s">
        <v>3</v>
      </c>
      <c r="B5" t="s">
        <v>49</v>
      </c>
    </row>
    <row r="7" spans="1:5" x14ac:dyDescent="0.25">
      <c r="A7" t="s">
        <v>5</v>
      </c>
      <c r="B7">
        <v>2</v>
      </c>
      <c r="C7" t="s">
        <v>6</v>
      </c>
      <c r="D7">
        <f>($B$4-$B$3)/B7</f>
        <v>1</v>
      </c>
    </row>
    <row r="8" spans="1:5" x14ac:dyDescent="0.25">
      <c r="A8" t="s">
        <v>7</v>
      </c>
      <c r="B8" t="s">
        <v>8</v>
      </c>
      <c r="C8" t="s">
        <v>9</v>
      </c>
      <c r="D8" t="s">
        <v>10</v>
      </c>
      <c r="E8" t="s">
        <v>11</v>
      </c>
    </row>
    <row r="9" spans="1:5" x14ac:dyDescent="0.25">
      <c r="A9">
        <v>0</v>
      </c>
      <c r="B9">
        <f>$B$3 + A9*$D$7</f>
        <v>0</v>
      </c>
      <c r="C9" t="s">
        <v>50</v>
      </c>
      <c r="D9">
        <f>IF(OR(A9=0,A9=B7),1,2)</f>
        <v>1</v>
      </c>
      <c r="E9">
        <f>B9*D9</f>
        <v>0</v>
      </c>
    </row>
    <row r="10" spans="1:5" x14ac:dyDescent="0.25">
      <c r="A10">
        <v>1</v>
      </c>
      <c r="B10">
        <f>$B$3 + A10*$D$7</f>
        <v>1</v>
      </c>
      <c r="C10" t="s">
        <v>51</v>
      </c>
      <c r="D10">
        <f>IF(OR(A10=0,A10=B7),1,2)</f>
        <v>2</v>
      </c>
      <c r="E10">
        <f t="shared" ref="E10:E11" si="0">B10*D10</f>
        <v>2</v>
      </c>
    </row>
    <row r="11" spans="1:5" x14ac:dyDescent="0.25">
      <c r="A11">
        <v>2</v>
      </c>
      <c r="B11">
        <f>$B$3 + A11*$D$7</f>
        <v>2</v>
      </c>
      <c r="C11" t="s">
        <v>52</v>
      </c>
      <c r="D11">
        <f>IF(OR(A11=0,A11=B7),1,2)</f>
        <v>1</v>
      </c>
      <c r="E11">
        <f t="shared" si="0"/>
        <v>2</v>
      </c>
    </row>
    <row r="12" spans="1:5" x14ac:dyDescent="0.25">
      <c r="D12" t="s">
        <v>15</v>
      </c>
      <c r="E12">
        <f>SUM(E9:E11)</f>
        <v>4</v>
      </c>
    </row>
    <row r="13" spans="1:5" x14ac:dyDescent="0.25">
      <c r="D13" t="s">
        <v>16</v>
      </c>
      <c r="E13">
        <f>$D$7/2*E12</f>
        <v>2</v>
      </c>
    </row>
    <row r="15" spans="1:5" x14ac:dyDescent="0.25">
      <c r="A15" t="s">
        <v>5</v>
      </c>
      <c r="B15">
        <v>4</v>
      </c>
      <c r="C15" t="s">
        <v>6</v>
      </c>
      <c r="D15">
        <f>($B$4-$B$3)/B15</f>
        <v>0.5</v>
      </c>
    </row>
    <row r="16" spans="1:5" x14ac:dyDescent="0.25">
      <c r="A16" t="s">
        <v>7</v>
      </c>
      <c r="B16" t="s">
        <v>8</v>
      </c>
      <c r="C16" t="s">
        <v>9</v>
      </c>
      <c r="D16" t="s">
        <v>10</v>
      </c>
      <c r="E16" t="s">
        <v>11</v>
      </c>
    </row>
    <row r="17" spans="1:5" x14ac:dyDescent="0.25">
      <c r="A17">
        <v>0</v>
      </c>
      <c r="B17">
        <f>$B$3 + A17*$D$15</f>
        <v>0</v>
      </c>
      <c r="C17" t="s">
        <v>53</v>
      </c>
      <c r="D17">
        <f>IF(OR(A17=0,A17=B15),1,2)</f>
        <v>1</v>
      </c>
      <c r="E17">
        <f>B17*D17</f>
        <v>0</v>
      </c>
    </row>
    <row r="18" spans="1:5" x14ac:dyDescent="0.25">
      <c r="A18">
        <v>1</v>
      </c>
      <c r="B18">
        <f>$B$3 + A18*$D$15</f>
        <v>0.5</v>
      </c>
      <c r="C18" t="s">
        <v>54</v>
      </c>
      <c r="D18">
        <f>IF(OR(A18=0,A18=B15),1,2)</f>
        <v>2</v>
      </c>
      <c r="E18">
        <f t="shared" ref="E18:E21" si="1">B18*D18</f>
        <v>1</v>
      </c>
    </row>
    <row r="19" spans="1:5" x14ac:dyDescent="0.25">
      <c r="A19">
        <v>2</v>
      </c>
      <c r="B19">
        <f>$B$3 + A19*$D$15</f>
        <v>1</v>
      </c>
      <c r="C19" t="s">
        <v>55</v>
      </c>
      <c r="D19">
        <f>IF(OR(A19=0,A19=B15),1,2)</f>
        <v>2</v>
      </c>
      <c r="E19">
        <f t="shared" si="1"/>
        <v>2</v>
      </c>
    </row>
    <row r="20" spans="1:5" x14ac:dyDescent="0.25">
      <c r="A20">
        <v>3</v>
      </c>
      <c r="B20">
        <f>$B$3 + A20*$D$15</f>
        <v>1.5</v>
      </c>
      <c r="C20" t="s">
        <v>56</v>
      </c>
      <c r="D20">
        <f>IF(OR(A20=0,A20=B15),1,2)</f>
        <v>2</v>
      </c>
      <c r="E20">
        <f t="shared" si="1"/>
        <v>3</v>
      </c>
    </row>
    <row r="21" spans="1:5" x14ac:dyDescent="0.25">
      <c r="A21">
        <v>4</v>
      </c>
      <c r="B21">
        <f>$B$3 + A21*$D$15</f>
        <v>2</v>
      </c>
      <c r="C21" t="s">
        <v>57</v>
      </c>
      <c r="D21">
        <f>IF(OR(A21=0,A21=B15),1,2)</f>
        <v>1</v>
      </c>
      <c r="E21">
        <f t="shared" si="1"/>
        <v>2</v>
      </c>
    </row>
    <row r="22" spans="1:5" x14ac:dyDescent="0.25">
      <c r="D22" t="s">
        <v>15</v>
      </c>
      <c r="E22">
        <f>SUM(E17:E21)</f>
        <v>8</v>
      </c>
    </row>
    <row r="23" spans="1:5" x14ac:dyDescent="0.25">
      <c r="D23" t="s">
        <v>16</v>
      </c>
      <c r="E23">
        <f>$D$15/2*E22</f>
        <v>2</v>
      </c>
    </row>
    <row r="25" spans="1:5" x14ac:dyDescent="0.25">
      <c r="A25" t="s">
        <v>5</v>
      </c>
      <c r="B25">
        <v>8</v>
      </c>
      <c r="C25" t="s">
        <v>6</v>
      </c>
      <c r="D25">
        <f>($B$4-$B$3)/B25</f>
        <v>0.25</v>
      </c>
    </row>
    <row r="26" spans="1:5" x14ac:dyDescent="0.25">
      <c r="A26" t="s">
        <v>7</v>
      </c>
      <c r="B26" t="s">
        <v>8</v>
      </c>
      <c r="C26" t="s">
        <v>9</v>
      </c>
      <c r="D26" t="s">
        <v>10</v>
      </c>
      <c r="E26" t="s">
        <v>11</v>
      </c>
    </row>
    <row r="27" spans="1:5" x14ac:dyDescent="0.25">
      <c r="A27">
        <v>0</v>
      </c>
      <c r="B27">
        <f t="shared" ref="B27:B35" si="2">$B$3 + A27*$D$25</f>
        <v>0</v>
      </c>
      <c r="C27" t="s">
        <v>58</v>
      </c>
      <c r="D27">
        <f>IF(OR(A27=0,A27=B25),1,2)</f>
        <v>1</v>
      </c>
      <c r="E27">
        <f>B27*D27</f>
        <v>0</v>
      </c>
    </row>
    <row r="28" spans="1:5" x14ac:dyDescent="0.25">
      <c r="A28">
        <v>1</v>
      </c>
      <c r="B28">
        <f t="shared" si="2"/>
        <v>0.25</v>
      </c>
      <c r="C28" t="s">
        <v>59</v>
      </c>
      <c r="D28">
        <f>IF(OR(A28=0,A28=B25),1,2)</f>
        <v>2</v>
      </c>
      <c r="E28">
        <f t="shared" ref="E28:E35" si="3">B28*D28</f>
        <v>0.5</v>
      </c>
    </row>
    <row r="29" spans="1:5" x14ac:dyDescent="0.25">
      <c r="A29">
        <v>2</v>
      </c>
      <c r="B29">
        <f t="shared" si="2"/>
        <v>0.5</v>
      </c>
      <c r="C29" t="s">
        <v>60</v>
      </c>
      <c r="D29">
        <f>IF(OR(A29=0,A29=B25),1,2)</f>
        <v>2</v>
      </c>
      <c r="E29">
        <f t="shared" si="3"/>
        <v>1</v>
      </c>
    </row>
    <row r="30" spans="1:5" x14ac:dyDescent="0.25">
      <c r="A30">
        <v>3</v>
      </c>
      <c r="B30">
        <f t="shared" si="2"/>
        <v>0.75</v>
      </c>
      <c r="C30" t="s">
        <v>61</v>
      </c>
      <c r="D30">
        <f>IF(OR(A30=0,A30=B25),1,2)</f>
        <v>2</v>
      </c>
      <c r="E30">
        <f t="shared" si="3"/>
        <v>1.5</v>
      </c>
    </row>
    <row r="31" spans="1:5" x14ac:dyDescent="0.25">
      <c r="A31">
        <v>4</v>
      </c>
      <c r="B31">
        <f t="shared" si="2"/>
        <v>1</v>
      </c>
      <c r="C31" t="s">
        <v>62</v>
      </c>
      <c r="D31">
        <f>IF(OR(A31=0,A31=B25),1,2)</f>
        <v>2</v>
      </c>
      <c r="E31">
        <f t="shared" si="3"/>
        <v>2</v>
      </c>
    </row>
    <row r="32" spans="1:5" x14ac:dyDescent="0.25">
      <c r="A32">
        <v>5</v>
      </c>
      <c r="B32">
        <f t="shared" si="2"/>
        <v>1.25</v>
      </c>
      <c r="C32" t="s">
        <v>63</v>
      </c>
      <c r="D32">
        <f>IF(OR(A32=0,A32=B25),1,2)</f>
        <v>2</v>
      </c>
      <c r="E32">
        <f t="shared" si="3"/>
        <v>2.5</v>
      </c>
    </row>
    <row r="33" spans="1:5" x14ac:dyDescent="0.25">
      <c r="A33">
        <v>6</v>
      </c>
      <c r="B33">
        <f t="shared" si="2"/>
        <v>1.5</v>
      </c>
      <c r="C33" t="s">
        <v>64</v>
      </c>
      <c r="D33">
        <f>IF(OR(A33=0,A33=B25),1,2)</f>
        <v>2</v>
      </c>
      <c r="E33">
        <f t="shared" si="3"/>
        <v>3</v>
      </c>
    </row>
    <row r="34" spans="1:5" x14ac:dyDescent="0.25">
      <c r="A34">
        <v>7</v>
      </c>
      <c r="B34">
        <f t="shared" si="2"/>
        <v>1.75</v>
      </c>
      <c r="C34" t="s">
        <v>65</v>
      </c>
      <c r="D34">
        <f>IF(OR(A34=0,A34=B25),1,2)</f>
        <v>2</v>
      </c>
      <c r="E34">
        <f t="shared" si="3"/>
        <v>3.5</v>
      </c>
    </row>
    <row r="35" spans="1:5" x14ac:dyDescent="0.25">
      <c r="A35">
        <v>8</v>
      </c>
      <c r="B35">
        <f t="shared" si="2"/>
        <v>2</v>
      </c>
      <c r="C35" t="s">
        <v>66</v>
      </c>
      <c r="D35">
        <f>IF(OR(A35=0,A35=B25),1,2)</f>
        <v>1</v>
      </c>
      <c r="E35">
        <f t="shared" si="3"/>
        <v>2</v>
      </c>
    </row>
    <row r="36" spans="1:5" x14ac:dyDescent="0.25">
      <c r="D36" t="s">
        <v>15</v>
      </c>
      <c r="E36">
        <f>SUM(E27:E35)</f>
        <v>16</v>
      </c>
    </row>
    <row r="37" spans="1:5" x14ac:dyDescent="0.25">
      <c r="D37" t="s">
        <v>16</v>
      </c>
      <c r="E37">
        <f>$D$25/2*E36</f>
        <v>2</v>
      </c>
    </row>
    <row r="39" spans="1:5" x14ac:dyDescent="0.25">
      <c r="A39" t="s">
        <v>5</v>
      </c>
      <c r="B39">
        <v>16</v>
      </c>
      <c r="C39" t="s">
        <v>6</v>
      </c>
      <c r="D39">
        <f>($B$4-$B$3)/B39</f>
        <v>0.125</v>
      </c>
    </row>
    <row r="40" spans="1:5" x14ac:dyDescent="0.25">
      <c r="A40" t="s">
        <v>7</v>
      </c>
      <c r="B40" t="s">
        <v>8</v>
      </c>
      <c r="C40" t="s">
        <v>9</v>
      </c>
      <c r="D40" t="s">
        <v>10</v>
      </c>
      <c r="E40" t="s">
        <v>11</v>
      </c>
    </row>
    <row r="41" spans="1:5" x14ac:dyDescent="0.25">
      <c r="A41">
        <v>0</v>
      </c>
      <c r="B41">
        <f t="shared" ref="B41:B57" si="4">$B$3 + A41*$D$39</f>
        <v>0</v>
      </c>
      <c r="C41" t="s">
        <v>67</v>
      </c>
      <c r="D41">
        <f>IF(OR(A41=0,A41=B39),1,2)</f>
        <v>1</v>
      </c>
      <c r="E41">
        <f>B41*D41</f>
        <v>0</v>
      </c>
    </row>
    <row r="42" spans="1:5" x14ac:dyDescent="0.25">
      <c r="A42">
        <v>1</v>
      </c>
      <c r="B42">
        <f t="shared" si="4"/>
        <v>0.125</v>
      </c>
      <c r="C42" t="s">
        <v>68</v>
      </c>
      <c r="D42">
        <f>IF(OR(A42=0,A42=B39),1,2)</f>
        <v>2</v>
      </c>
      <c r="E42">
        <f t="shared" ref="E42:E57" si="5">B42*D42</f>
        <v>0.25</v>
      </c>
    </row>
    <row r="43" spans="1:5" x14ac:dyDescent="0.25">
      <c r="A43">
        <v>2</v>
      </c>
      <c r="B43">
        <f t="shared" si="4"/>
        <v>0.25</v>
      </c>
      <c r="C43" t="s">
        <v>69</v>
      </c>
      <c r="D43">
        <f>IF(OR(A43=0,A43=B39),1,2)</f>
        <v>2</v>
      </c>
      <c r="E43">
        <f t="shared" si="5"/>
        <v>0.5</v>
      </c>
    </row>
    <row r="44" spans="1:5" x14ac:dyDescent="0.25">
      <c r="A44">
        <v>3</v>
      </c>
      <c r="B44">
        <f t="shared" si="4"/>
        <v>0.375</v>
      </c>
      <c r="C44" t="s">
        <v>70</v>
      </c>
      <c r="D44">
        <f>IF(OR(A44=0,A44=B39),1,2)</f>
        <v>2</v>
      </c>
      <c r="E44">
        <f t="shared" si="5"/>
        <v>0.75</v>
      </c>
    </row>
    <row r="45" spans="1:5" x14ac:dyDescent="0.25">
      <c r="A45">
        <v>4</v>
      </c>
      <c r="B45">
        <f t="shared" si="4"/>
        <v>0.5</v>
      </c>
      <c r="C45" t="s">
        <v>71</v>
      </c>
      <c r="D45">
        <f>IF(OR(A45=0,A45=B39),1,2)</f>
        <v>2</v>
      </c>
      <c r="E45">
        <f t="shared" si="5"/>
        <v>1</v>
      </c>
    </row>
    <row r="46" spans="1:5" x14ac:dyDescent="0.25">
      <c r="A46">
        <v>5</v>
      </c>
      <c r="B46">
        <f t="shared" si="4"/>
        <v>0.625</v>
      </c>
      <c r="C46" t="s">
        <v>72</v>
      </c>
      <c r="D46">
        <f>IF(OR(A46=0,A46=B39),1,2)</f>
        <v>2</v>
      </c>
      <c r="E46">
        <f t="shared" si="5"/>
        <v>1.25</v>
      </c>
    </row>
    <row r="47" spans="1:5" x14ac:dyDescent="0.25">
      <c r="A47">
        <v>6</v>
      </c>
      <c r="B47">
        <f t="shared" si="4"/>
        <v>0.75</v>
      </c>
      <c r="C47" t="s">
        <v>73</v>
      </c>
      <c r="D47">
        <f>IF(OR(A47=0,A47=B39),1,2)</f>
        <v>2</v>
      </c>
      <c r="E47">
        <f t="shared" si="5"/>
        <v>1.5</v>
      </c>
    </row>
    <row r="48" spans="1:5" x14ac:dyDescent="0.25">
      <c r="A48">
        <v>7</v>
      </c>
      <c r="B48">
        <f t="shared" si="4"/>
        <v>0.875</v>
      </c>
      <c r="C48" t="s">
        <v>74</v>
      </c>
      <c r="D48">
        <f>IF(OR(A48=0,A48=B39),1,2)</f>
        <v>2</v>
      </c>
      <c r="E48">
        <f t="shared" si="5"/>
        <v>1.75</v>
      </c>
    </row>
    <row r="49" spans="1:5" x14ac:dyDescent="0.25">
      <c r="A49">
        <v>8</v>
      </c>
      <c r="B49">
        <f t="shared" si="4"/>
        <v>1</v>
      </c>
      <c r="C49" t="s">
        <v>75</v>
      </c>
      <c r="D49">
        <f>IF(OR(A49=0,A49=B39),1,2)</f>
        <v>2</v>
      </c>
      <c r="E49">
        <f t="shared" si="5"/>
        <v>2</v>
      </c>
    </row>
    <row r="50" spans="1:5" x14ac:dyDescent="0.25">
      <c r="A50">
        <v>9</v>
      </c>
      <c r="B50">
        <f t="shared" si="4"/>
        <v>1.125</v>
      </c>
      <c r="C50" t="s">
        <v>76</v>
      </c>
      <c r="D50">
        <f>IF(OR(A50=0,A50=B39),1,2)</f>
        <v>2</v>
      </c>
      <c r="E50">
        <f t="shared" si="5"/>
        <v>2.25</v>
      </c>
    </row>
    <row r="51" spans="1:5" x14ac:dyDescent="0.25">
      <c r="A51">
        <v>10</v>
      </c>
      <c r="B51">
        <f t="shared" si="4"/>
        <v>1.25</v>
      </c>
      <c r="C51" t="s">
        <v>77</v>
      </c>
      <c r="D51">
        <f>IF(OR(A51=0,A51=B39),1,2)</f>
        <v>2</v>
      </c>
      <c r="E51">
        <f t="shared" si="5"/>
        <v>2.5</v>
      </c>
    </row>
    <row r="52" spans="1:5" x14ac:dyDescent="0.25">
      <c r="A52">
        <v>11</v>
      </c>
      <c r="B52">
        <f t="shared" si="4"/>
        <v>1.375</v>
      </c>
      <c r="C52" t="s">
        <v>78</v>
      </c>
      <c r="D52">
        <f>IF(OR(A52=0,A52=B39),1,2)</f>
        <v>2</v>
      </c>
      <c r="E52">
        <f t="shared" si="5"/>
        <v>2.75</v>
      </c>
    </row>
    <row r="53" spans="1:5" x14ac:dyDescent="0.25">
      <c r="A53">
        <v>12</v>
      </c>
      <c r="B53">
        <f t="shared" si="4"/>
        <v>1.5</v>
      </c>
      <c r="C53" t="s">
        <v>79</v>
      </c>
      <c r="D53">
        <f>IF(OR(A53=0,A53=B39),1,2)</f>
        <v>2</v>
      </c>
      <c r="E53">
        <f t="shared" si="5"/>
        <v>3</v>
      </c>
    </row>
    <row r="54" spans="1:5" x14ac:dyDescent="0.25">
      <c r="A54">
        <v>13</v>
      </c>
      <c r="B54">
        <f t="shared" si="4"/>
        <v>1.625</v>
      </c>
      <c r="C54" t="s">
        <v>80</v>
      </c>
      <c r="D54">
        <f>IF(OR(A54=0,A54=B39),1,2)</f>
        <v>2</v>
      </c>
      <c r="E54">
        <f t="shared" si="5"/>
        <v>3.25</v>
      </c>
    </row>
    <row r="55" spans="1:5" x14ac:dyDescent="0.25">
      <c r="A55">
        <v>14</v>
      </c>
      <c r="B55">
        <f t="shared" si="4"/>
        <v>1.75</v>
      </c>
      <c r="C55" t="s">
        <v>81</v>
      </c>
      <c r="D55">
        <f>IF(OR(A55=0,A55=B39),1,2)</f>
        <v>2</v>
      </c>
      <c r="E55">
        <f t="shared" si="5"/>
        <v>3.5</v>
      </c>
    </row>
    <row r="56" spans="1:5" x14ac:dyDescent="0.25">
      <c r="A56">
        <v>15</v>
      </c>
      <c r="B56">
        <f t="shared" si="4"/>
        <v>1.875</v>
      </c>
      <c r="C56" t="s">
        <v>82</v>
      </c>
      <c r="D56">
        <f>IF(OR(A56=0,A56=B39),1,2)</f>
        <v>2</v>
      </c>
      <c r="E56">
        <f t="shared" si="5"/>
        <v>3.75</v>
      </c>
    </row>
    <row r="57" spans="1:5" x14ac:dyDescent="0.25">
      <c r="A57">
        <v>16</v>
      </c>
      <c r="B57">
        <f t="shared" si="4"/>
        <v>2</v>
      </c>
      <c r="C57" t="s">
        <v>83</v>
      </c>
      <c r="D57">
        <f>IF(OR(A57=0,A57=B39),1,2)</f>
        <v>1</v>
      </c>
      <c r="E57">
        <f t="shared" si="5"/>
        <v>2</v>
      </c>
    </row>
    <row r="58" spans="1:5" x14ac:dyDescent="0.25">
      <c r="D58" t="s">
        <v>15</v>
      </c>
      <c r="E58">
        <f>SUM(E41:E57)</f>
        <v>32</v>
      </c>
    </row>
    <row r="59" spans="1:5" x14ac:dyDescent="0.25">
      <c r="D59" t="s">
        <v>16</v>
      </c>
      <c r="E59">
        <f>$D$39/2*E58</f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59"/>
  <sheetViews>
    <sheetView tabSelected="1" workbookViewId="0">
      <selection activeCell="E41" sqref="E41:E57"/>
    </sheetView>
  </sheetViews>
  <sheetFormatPr defaultRowHeight="15" x14ac:dyDescent="0.25"/>
  <sheetData>
    <row r="1" spans="1:5" x14ac:dyDescent="0.25">
      <c r="A1" t="s">
        <v>84</v>
      </c>
    </row>
    <row r="3" spans="1:5" x14ac:dyDescent="0.25">
      <c r="A3" t="s">
        <v>1</v>
      </c>
      <c r="B3">
        <v>0</v>
      </c>
    </row>
    <row r="4" spans="1:5" x14ac:dyDescent="0.25">
      <c r="A4" t="s">
        <v>2</v>
      </c>
      <c r="B4">
        <v>4</v>
      </c>
    </row>
    <row r="5" spans="1:5" x14ac:dyDescent="0.25">
      <c r="A5" t="s">
        <v>3</v>
      </c>
      <c r="B5" t="s">
        <v>85</v>
      </c>
    </row>
    <row r="7" spans="1:5" x14ac:dyDescent="0.25">
      <c r="A7" t="s">
        <v>5</v>
      </c>
      <c r="B7">
        <v>2</v>
      </c>
      <c r="C7" t="s">
        <v>6</v>
      </c>
      <c r="D7">
        <f>($B$4-$B$3)/B7</f>
        <v>2</v>
      </c>
    </row>
    <row r="8" spans="1:5" x14ac:dyDescent="0.25">
      <c r="A8" t="s">
        <v>7</v>
      </c>
      <c r="B8" t="s">
        <v>8</v>
      </c>
      <c r="C8" t="s">
        <v>9</v>
      </c>
      <c r="D8" t="s">
        <v>10</v>
      </c>
      <c r="E8" t="s">
        <v>11</v>
      </c>
    </row>
    <row r="9" spans="1:5" x14ac:dyDescent="0.25">
      <c r="A9">
        <v>0</v>
      </c>
      <c r="B9">
        <f>$B$3 + A9*$D$7</f>
        <v>0</v>
      </c>
      <c r="C9" t="s">
        <v>86</v>
      </c>
      <c r="D9">
        <f>IF(OR(A9=0,A9=B7),1,2)</f>
        <v>1</v>
      </c>
      <c r="E9">
        <f>B9*D9</f>
        <v>0</v>
      </c>
    </row>
    <row r="10" spans="1:5" x14ac:dyDescent="0.25">
      <c r="A10">
        <v>1</v>
      </c>
      <c r="B10">
        <f>$B$3 + A10*$D$7</f>
        <v>2</v>
      </c>
      <c r="C10" t="s">
        <v>87</v>
      </c>
      <c r="D10">
        <f>IF(OR(A10=0,A10=B7),1,2)</f>
        <v>2</v>
      </c>
      <c r="E10">
        <f t="shared" ref="E10:E11" si="0">B10*D10</f>
        <v>4</v>
      </c>
    </row>
    <row r="11" spans="1:5" x14ac:dyDescent="0.25">
      <c r="A11">
        <v>2</v>
      </c>
      <c r="B11">
        <f>$B$3 + A11*$D$7</f>
        <v>4</v>
      </c>
      <c r="C11" t="s">
        <v>88</v>
      </c>
      <c r="D11">
        <f>IF(OR(A11=0,A11=B7),1,2)</f>
        <v>1</v>
      </c>
      <c r="E11">
        <f t="shared" si="0"/>
        <v>4</v>
      </c>
    </row>
    <row r="12" spans="1:5" x14ac:dyDescent="0.25">
      <c r="D12" t="s">
        <v>15</v>
      </c>
      <c r="E12">
        <f>SUM(E9:E11)</f>
        <v>8</v>
      </c>
    </row>
    <row r="13" spans="1:5" x14ac:dyDescent="0.25">
      <c r="D13" t="s">
        <v>16</v>
      </c>
      <c r="E13">
        <f>$D$7/2*E12</f>
        <v>8</v>
      </c>
    </row>
    <row r="15" spans="1:5" x14ac:dyDescent="0.25">
      <c r="A15" t="s">
        <v>5</v>
      </c>
      <c r="B15">
        <v>4</v>
      </c>
      <c r="C15" t="s">
        <v>6</v>
      </c>
      <c r="D15">
        <f>($B$4-$B$3)/B15</f>
        <v>1</v>
      </c>
    </row>
    <row r="16" spans="1:5" x14ac:dyDescent="0.25">
      <c r="A16" t="s">
        <v>7</v>
      </c>
      <c r="B16" t="s">
        <v>8</v>
      </c>
      <c r="C16" t="s">
        <v>9</v>
      </c>
      <c r="D16" t="s">
        <v>10</v>
      </c>
      <c r="E16" t="s">
        <v>11</v>
      </c>
    </row>
    <row r="17" spans="1:5" x14ac:dyDescent="0.25">
      <c r="A17">
        <v>0</v>
      </c>
      <c r="B17">
        <f>$B$3 + A17*$D$15</f>
        <v>0</v>
      </c>
      <c r="C17" t="s">
        <v>89</v>
      </c>
      <c r="D17">
        <f>IF(OR(A17=0,A17=B15),1,2)</f>
        <v>1</v>
      </c>
      <c r="E17">
        <f>B17*D17</f>
        <v>0</v>
      </c>
    </row>
    <row r="18" spans="1:5" x14ac:dyDescent="0.25">
      <c r="A18">
        <v>1</v>
      </c>
      <c r="B18">
        <f>$B$3 + A18*$D$15</f>
        <v>1</v>
      </c>
      <c r="C18" t="s">
        <v>90</v>
      </c>
      <c r="D18">
        <f>IF(OR(A18=0,A18=B15),1,2)</f>
        <v>2</v>
      </c>
      <c r="E18">
        <f t="shared" ref="E18:E21" si="1">B18*D18</f>
        <v>2</v>
      </c>
    </row>
    <row r="19" spans="1:5" x14ac:dyDescent="0.25">
      <c r="A19">
        <v>2</v>
      </c>
      <c r="B19">
        <f>$B$3 + A19*$D$15</f>
        <v>2</v>
      </c>
      <c r="C19" t="s">
        <v>91</v>
      </c>
      <c r="D19">
        <f>IF(OR(A19=0,A19=B15),1,2)</f>
        <v>2</v>
      </c>
      <c r="E19">
        <f t="shared" si="1"/>
        <v>4</v>
      </c>
    </row>
    <row r="20" spans="1:5" x14ac:dyDescent="0.25">
      <c r="A20">
        <v>3</v>
      </c>
      <c r="B20">
        <f>$B$3 + A20*$D$15</f>
        <v>3</v>
      </c>
      <c r="C20" t="s">
        <v>92</v>
      </c>
      <c r="D20">
        <f>IF(OR(A20=0,A20=B15),1,2)</f>
        <v>2</v>
      </c>
      <c r="E20">
        <f t="shared" si="1"/>
        <v>6</v>
      </c>
    </row>
    <row r="21" spans="1:5" x14ac:dyDescent="0.25">
      <c r="A21">
        <v>4</v>
      </c>
      <c r="B21">
        <f>$B$3 + A21*$D$15</f>
        <v>4</v>
      </c>
      <c r="C21" t="s">
        <v>93</v>
      </c>
      <c r="D21">
        <f>IF(OR(A21=0,A21=B15),1,2)</f>
        <v>1</v>
      </c>
      <c r="E21">
        <f t="shared" si="1"/>
        <v>4</v>
      </c>
    </row>
    <row r="22" spans="1:5" x14ac:dyDescent="0.25">
      <c r="D22" t="s">
        <v>15</v>
      </c>
      <c r="E22">
        <f>SUM(E17:E21)</f>
        <v>16</v>
      </c>
    </row>
    <row r="23" spans="1:5" x14ac:dyDescent="0.25">
      <c r="D23" t="s">
        <v>16</v>
      </c>
      <c r="E23">
        <f>$D$15/2*E22</f>
        <v>8</v>
      </c>
    </row>
    <row r="25" spans="1:5" x14ac:dyDescent="0.25">
      <c r="A25" t="s">
        <v>5</v>
      </c>
      <c r="B25">
        <v>8</v>
      </c>
      <c r="C25" t="s">
        <v>6</v>
      </c>
      <c r="D25">
        <f>($B$4-$B$3)/B25</f>
        <v>0.5</v>
      </c>
    </row>
    <row r="26" spans="1:5" x14ac:dyDescent="0.25">
      <c r="A26" t="s">
        <v>7</v>
      </c>
      <c r="B26" t="s">
        <v>8</v>
      </c>
      <c r="C26" t="s">
        <v>9</v>
      </c>
      <c r="D26" t="s">
        <v>10</v>
      </c>
      <c r="E26" t="s">
        <v>11</v>
      </c>
    </row>
    <row r="27" spans="1:5" x14ac:dyDescent="0.25">
      <c r="A27">
        <v>0</v>
      </c>
      <c r="B27">
        <f t="shared" ref="B27:B35" si="2">$B$3 + A27*$D$25</f>
        <v>0</v>
      </c>
      <c r="C27" t="s">
        <v>94</v>
      </c>
      <c r="D27">
        <f>IF(OR(A27=0,A27=B25),1,2)</f>
        <v>1</v>
      </c>
      <c r="E27">
        <f>B27*D27</f>
        <v>0</v>
      </c>
    </row>
    <row r="28" spans="1:5" x14ac:dyDescent="0.25">
      <c r="A28">
        <v>1</v>
      </c>
      <c r="B28">
        <f t="shared" si="2"/>
        <v>0.5</v>
      </c>
      <c r="C28" t="s">
        <v>95</v>
      </c>
      <c r="D28">
        <f>IF(OR(A28=0,A28=B25),1,2)</f>
        <v>2</v>
      </c>
      <c r="E28">
        <f t="shared" ref="E28:E35" si="3">B28*D28</f>
        <v>1</v>
      </c>
    </row>
    <row r="29" spans="1:5" x14ac:dyDescent="0.25">
      <c r="A29">
        <v>2</v>
      </c>
      <c r="B29">
        <f t="shared" si="2"/>
        <v>1</v>
      </c>
      <c r="C29" t="s">
        <v>96</v>
      </c>
      <c r="D29">
        <f>IF(OR(A29=0,A29=B25),1,2)</f>
        <v>2</v>
      </c>
      <c r="E29">
        <f t="shared" si="3"/>
        <v>2</v>
      </c>
    </row>
    <row r="30" spans="1:5" x14ac:dyDescent="0.25">
      <c r="A30">
        <v>3</v>
      </c>
      <c r="B30">
        <f t="shared" si="2"/>
        <v>1.5</v>
      </c>
      <c r="C30" t="s">
        <v>97</v>
      </c>
      <c r="D30">
        <f>IF(OR(A30=0,A30=B25),1,2)</f>
        <v>2</v>
      </c>
      <c r="E30">
        <f t="shared" si="3"/>
        <v>3</v>
      </c>
    </row>
    <row r="31" spans="1:5" x14ac:dyDescent="0.25">
      <c r="A31">
        <v>4</v>
      </c>
      <c r="B31">
        <f t="shared" si="2"/>
        <v>2</v>
      </c>
      <c r="C31" t="s">
        <v>98</v>
      </c>
      <c r="D31">
        <f>IF(OR(A31=0,A31=B25),1,2)</f>
        <v>2</v>
      </c>
      <c r="E31">
        <f t="shared" si="3"/>
        <v>4</v>
      </c>
    </row>
    <row r="32" spans="1:5" x14ac:dyDescent="0.25">
      <c r="A32">
        <v>5</v>
      </c>
      <c r="B32">
        <f t="shared" si="2"/>
        <v>2.5</v>
      </c>
      <c r="C32" t="s">
        <v>99</v>
      </c>
      <c r="D32">
        <f>IF(OR(A32=0,A32=B25),1,2)</f>
        <v>2</v>
      </c>
      <c r="E32">
        <f t="shared" si="3"/>
        <v>5</v>
      </c>
    </row>
    <row r="33" spans="1:5" x14ac:dyDescent="0.25">
      <c r="A33">
        <v>6</v>
      </c>
      <c r="B33">
        <f t="shared" si="2"/>
        <v>3</v>
      </c>
      <c r="C33" t="s">
        <v>100</v>
      </c>
      <c r="D33">
        <f>IF(OR(A33=0,A33=B25),1,2)</f>
        <v>2</v>
      </c>
      <c r="E33">
        <f t="shared" si="3"/>
        <v>6</v>
      </c>
    </row>
    <row r="34" spans="1:5" x14ac:dyDescent="0.25">
      <c r="A34">
        <v>7</v>
      </c>
      <c r="B34">
        <f t="shared" si="2"/>
        <v>3.5</v>
      </c>
      <c r="C34" t="s">
        <v>101</v>
      </c>
      <c r="D34">
        <f>IF(OR(A34=0,A34=B25),1,2)</f>
        <v>2</v>
      </c>
      <c r="E34">
        <f t="shared" si="3"/>
        <v>7</v>
      </c>
    </row>
    <row r="35" spans="1:5" x14ac:dyDescent="0.25">
      <c r="A35">
        <v>8</v>
      </c>
      <c r="B35">
        <f t="shared" si="2"/>
        <v>4</v>
      </c>
      <c r="C35" t="s">
        <v>102</v>
      </c>
      <c r="D35">
        <f>IF(OR(A35=0,A35=B25),1,2)</f>
        <v>1</v>
      </c>
      <c r="E35">
        <f t="shared" si="3"/>
        <v>4</v>
      </c>
    </row>
    <row r="36" spans="1:5" x14ac:dyDescent="0.25">
      <c r="D36" t="s">
        <v>15</v>
      </c>
      <c r="E36">
        <f>SUM(E27:E35)</f>
        <v>32</v>
      </c>
    </row>
    <row r="37" spans="1:5" x14ac:dyDescent="0.25">
      <c r="D37" t="s">
        <v>16</v>
      </c>
      <c r="E37">
        <f>$D$25/2*E36</f>
        <v>8</v>
      </c>
    </row>
    <row r="39" spans="1:5" x14ac:dyDescent="0.25">
      <c r="A39" t="s">
        <v>5</v>
      </c>
      <c r="B39">
        <v>16</v>
      </c>
      <c r="C39" t="s">
        <v>6</v>
      </c>
      <c r="D39">
        <f>($B$4-$B$3)/B39</f>
        <v>0.25</v>
      </c>
    </row>
    <row r="40" spans="1:5" x14ac:dyDescent="0.25">
      <c r="A40" t="s">
        <v>7</v>
      </c>
      <c r="B40" t="s">
        <v>8</v>
      </c>
      <c r="C40" t="s">
        <v>9</v>
      </c>
      <c r="D40" t="s">
        <v>10</v>
      </c>
      <c r="E40" t="s">
        <v>11</v>
      </c>
    </row>
    <row r="41" spans="1:5" x14ac:dyDescent="0.25">
      <c r="A41">
        <v>0</v>
      </c>
      <c r="B41">
        <f t="shared" ref="B41:B57" si="4">$B$3 + A41*$D$39</f>
        <v>0</v>
      </c>
      <c r="C41" t="s">
        <v>103</v>
      </c>
      <c r="D41">
        <f>IF(OR(A41=0,A41=B39),1,2)</f>
        <v>1</v>
      </c>
      <c r="E41">
        <f>B41*D41</f>
        <v>0</v>
      </c>
    </row>
    <row r="42" spans="1:5" x14ac:dyDescent="0.25">
      <c r="A42">
        <v>1</v>
      </c>
      <c r="B42">
        <f t="shared" si="4"/>
        <v>0.25</v>
      </c>
      <c r="C42" t="s">
        <v>104</v>
      </c>
      <c r="D42">
        <f>IF(OR(A42=0,A42=B39),1,2)</f>
        <v>2</v>
      </c>
      <c r="E42">
        <f t="shared" ref="E42:E57" si="5">B42*D42</f>
        <v>0.5</v>
      </c>
    </row>
    <row r="43" spans="1:5" x14ac:dyDescent="0.25">
      <c r="A43">
        <v>2</v>
      </c>
      <c r="B43">
        <f t="shared" si="4"/>
        <v>0.5</v>
      </c>
      <c r="C43" t="s">
        <v>105</v>
      </c>
      <c r="D43">
        <f>IF(OR(A43=0,A43=B39),1,2)</f>
        <v>2</v>
      </c>
      <c r="E43">
        <f t="shared" si="5"/>
        <v>1</v>
      </c>
    </row>
    <row r="44" spans="1:5" x14ac:dyDescent="0.25">
      <c r="A44">
        <v>3</v>
      </c>
      <c r="B44">
        <f t="shared" si="4"/>
        <v>0.75</v>
      </c>
      <c r="C44" t="s">
        <v>106</v>
      </c>
      <c r="D44">
        <f>IF(OR(A44=0,A44=B39),1,2)</f>
        <v>2</v>
      </c>
      <c r="E44">
        <f t="shared" si="5"/>
        <v>1.5</v>
      </c>
    </row>
    <row r="45" spans="1:5" x14ac:dyDescent="0.25">
      <c r="A45">
        <v>4</v>
      </c>
      <c r="B45">
        <f t="shared" si="4"/>
        <v>1</v>
      </c>
      <c r="C45" t="s">
        <v>107</v>
      </c>
      <c r="D45">
        <f>IF(OR(A45=0,A45=B39),1,2)</f>
        <v>2</v>
      </c>
      <c r="E45">
        <f t="shared" si="5"/>
        <v>2</v>
      </c>
    </row>
    <row r="46" spans="1:5" x14ac:dyDescent="0.25">
      <c r="A46">
        <v>5</v>
      </c>
      <c r="B46">
        <f t="shared" si="4"/>
        <v>1.25</v>
      </c>
      <c r="C46" t="s">
        <v>108</v>
      </c>
      <c r="D46">
        <f>IF(OR(A46=0,A46=B39),1,2)</f>
        <v>2</v>
      </c>
      <c r="E46">
        <f t="shared" si="5"/>
        <v>2.5</v>
      </c>
    </row>
    <row r="47" spans="1:5" x14ac:dyDescent="0.25">
      <c r="A47">
        <v>6</v>
      </c>
      <c r="B47">
        <f t="shared" si="4"/>
        <v>1.5</v>
      </c>
      <c r="C47" t="s">
        <v>109</v>
      </c>
      <c r="D47">
        <f>IF(OR(A47=0,A47=B39),1,2)</f>
        <v>2</v>
      </c>
      <c r="E47">
        <f t="shared" si="5"/>
        <v>3</v>
      </c>
    </row>
    <row r="48" spans="1:5" x14ac:dyDescent="0.25">
      <c r="A48">
        <v>7</v>
      </c>
      <c r="B48">
        <f t="shared" si="4"/>
        <v>1.75</v>
      </c>
      <c r="C48" t="s">
        <v>110</v>
      </c>
      <c r="D48">
        <f>IF(OR(A48=0,A48=B39),1,2)</f>
        <v>2</v>
      </c>
      <c r="E48">
        <f t="shared" si="5"/>
        <v>3.5</v>
      </c>
    </row>
    <row r="49" spans="1:5" x14ac:dyDescent="0.25">
      <c r="A49">
        <v>8</v>
      </c>
      <c r="B49">
        <f t="shared" si="4"/>
        <v>2</v>
      </c>
      <c r="C49" t="s">
        <v>111</v>
      </c>
      <c r="D49">
        <f>IF(OR(A49=0,A49=B39),1,2)</f>
        <v>2</v>
      </c>
      <c r="E49">
        <f t="shared" si="5"/>
        <v>4</v>
      </c>
    </row>
    <row r="50" spans="1:5" x14ac:dyDescent="0.25">
      <c r="A50">
        <v>9</v>
      </c>
      <c r="B50">
        <f t="shared" si="4"/>
        <v>2.25</v>
      </c>
      <c r="C50" t="s">
        <v>112</v>
      </c>
      <c r="D50">
        <f>IF(OR(A50=0,A50=B39),1,2)</f>
        <v>2</v>
      </c>
      <c r="E50">
        <f t="shared" si="5"/>
        <v>4.5</v>
      </c>
    </row>
    <row r="51" spans="1:5" x14ac:dyDescent="0.25">
      <c r="A51">
        <v>10</v>
      </c>
      <c r="B51">
        <f t="shared" si="4"/>
        <v>2.5</v>
      </c>
      <c r="C51" t="s">
        <v>113</v>
      </c>
      <c r="D51">
        <f>IF(OR(A51=0,A51=B39),1,2)</f>
        <v>2</v>
      </c>
      <c r="E51">
        <f t="shared" si="5"/>
        <v>5</v>
      </c>
    </row>
    <row r="52" spans="1:5" x14ac:dyDescent="0.25">
      <c r="A52">
        <v>11</v>
      </c>
      <c r="B52">
        <f t="shared" si="4"/>
        <v>2.75</v>
      </c>
      <c r="C52" t="s">
        <v>114</v>
      </c>
      <c r="D52">
        <f>IF(OR(A52=0,A52=B39),1,2)</f>
        <v>2</v>
      </c>
      <c r="E52">
        <f t="shared" si="5"/>
        <v>5.5</v>
      </c>
    </row>
    <row r="53" spans="1:5" x14ac:dyDescent="0.25">
      <c r="A53">
        <v>12</v>
      </c>
      <c r="B53">
        <f t="shared" si="4"/>
        <v>3</v>
      </c>
      <c r="C53" t="s">
        <v>115</v>
      </c>
      <c r="D53">
        <f>IF(OR(A53=0,A53=B39),1,2)</f>
        <v>2</v>
      </c>
      <c r="E53">
        <f t="shared" si="5"/>
        <v>6</v>
      </c>
    </row>
    <row r="54" spans="1:5" x14ac:dyDescent="0.25">
      <c r="A54">
        <v>13</v>
      </c>
      <c r="B54">
        <f t="shared" si="4"/>
        <v>3.25</v>
      </c>
      <c r="C54" t="s">
        <v>116</v>
      </c>
      <c r="D54">
        <f>IF(OR(A54=0,A54=B39),1,2)</f>
        <v>2</v>
      </c>
      <c r="E54">
        <f t="shared" si="5"/>
        <v>6.5</v>
      </c>
    </row>
    <row r="55" spans="1:5" x14ac:dyDescent="0.25">
      <c r="A55">
        <v>14</v>
      </c>
      <c r="B55">
        <f t="shared" si="4"/>
        <v>3.5</v>
      </c>
      <c r="C55" t="s">
        <v>117</v>
      </c>
      <c r="D55">
        <f>IF(OR(A55=0,A55=B39),1,2)</f>
        <v>2</v>
      </c>
      <c r="E55">
        <f t="shared" si="5"/>
        <v>7</v>
      </c>
    </row>
    <row r="56" spans="1:5" x14ac:dyDescent="0.25">
      <c r="A56">
        <v>15</v>
      </c>
      <c r="B56">
        <f t="shared" si="4"/>
        <v>3.75</v>
      </c>
      <c r="C56" t="s">
        <v>118</v>
      </c>
      <c r="D56">
        <f>IF(OR(A56=0,A56=B39),1,2)</f>
        <v>2</v>
      </c>
      <c r="E56">
        <f t="shared" si="5"/>
        <v>7.5</v>
      </c>
    </row>
    <row r="57" spans="1:5" x14ac:dyDescent="0.25">
      <c r="A57">
        <v>16</v>
      </c>
      <c r="B57">
        <f t="shared" si="4"/>
        <v>4</v>
      </c>
      <c r="C57" t="s">
        <v>119</v>
      </c>
      <c r="D57">
        <f>IF(OR(A57=0,A57=B39),1,2)</f>
        <v>1</v>
      </c>
      <c r="E57">
        <f t="shared" si="5"/>
        <v>4</v>
      </c>
    </row>
    <row r="58" spans="1:5" x14ac:dyDescent="0.25">
      <c r="D58" t="s">
        <v>15</v>
      </c>
      <c r="E58">
        <f>SUM(E41:E57)</f>
        <v>64</v>
      </c>
    </row>
    <row r="59" spans="1:5" x14ac:dyDescent="0.25">
      <c r="D59" t="s">
        <v>16</v>
      </c>
      <c r="E59">
        <f>$D$39/2*E58</f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a) sin(theta)</vt:lpstr>
      <vt:lpstr>b) e^x</vt:lpstr>
      <vt:lpstr>c) cubic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Brian Isaias</cp:lastModifiedBy>
  <dcterms:created xsi:type="dcterms:W3CDTF">2025-11-19T07:33:57Z</dcterms:created>
  <dcterms:modified xsi:type="dcterms:W3CDTF">2025-11-19T07:38:22Z</dcterms:modified>
</cp:coreProperties>
</file>