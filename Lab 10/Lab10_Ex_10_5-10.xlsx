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411L/Lab 10/"/>
    </mc:Choice>
  </mc:AlternateContent>
  <xr:revisionPtr revIDLastSave="0" documentId="8_{F9B1270A-7064-4233-ACF2-ED8FFB890142}" xr6:coauthVersionLast="47" xr6:coauthVersionMax="47" xr10:uidLastSave="{00000000-0000-0000-0000-000000000000}"/>
  <bookViews>
    <workbookView xWindow="14295" yWindow="0" windowWidth="14610" windowHeight="15585" activeTab="3" xr2:uid="{1311FC52-A80A-479B-B450-CBCDAC91B2B5}"/>
  </bookViews>
  <sheets>
    <sheet name="Lab10_Ex10_5" sheetId="1" r:id="rId1"/>
    <sheet name="Lab10_Ex10_6" sheetId="2" r:id="rId2"/>
    <sheet name="Lab10_Ex10_7" sheetId="3" r:id="rId3"/>
    <sheet name="Lab10_Ex10_8" sheetId="4" r:id="rId4"/>
    <sheet name="Lab10_Ex10_9" sheetId="5" r:id="rId5"/>
    <sheet name="Sheet6" sheetId="6" r:id="rId6"/>
  </sheets>
  <definedNames>
    <definedName name="solver_adj" localSheetId="0" hidden="1">Lab10_Ex10_5!$C$2</definedName>
    <definedName name="solver_adj" localSheetId="1" hidden="1">Lab10_Ex10_6!$C$3:$C$5</definedName>
    <definedName name="solver_adj" localSheetId="2" hidden="1">Lab10_Ex10_7!$C$3:$C$5</definedName>
    <definedName name="solver_adj" localSheetId="3" hidden="1">Lab10_Ex10_8!$C$3:$C$5</definedName>
    <definedName name="solver_adj" localSheetId="4" hidden="1">Lab10_Ex10_9!$C$3:$C$5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ng" localSheetId="3" hidden="1">2</definedName>
    <definedName name="solver_eng" localSheetId="4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lhs1" localSheetId="2" hidden="1">Lab10_Ex10_7!$C$10</definedName>
    <definedName name="solver_lhs1" localSheetId="3" hidden="1">Lab10_Ex10_8!$C$10</definedName>
    <definedName name="solver_lhs1" localSheetId="4" hidden="1">Lab10_Ex10_9!$C$10</definedName>
    <definedName name="solver_lhs2" localSheetId="2" hidden="1">Lab10_Ex10_7!$C$9</definedName>
    <definedName name="solver_lhs2" localSheetId="3" hidden="1">Lab10_Ex10_8!$C$9</definedName>
    <definedName name="solver_lhs2" localSheetId="4" hidden="1">Lab10_Ex10_9!$C$9</definedName>
    <definedName name="solver_lhs3" localSheetId="4" hidden="1">Lab10_Ex10_9!$C$9:$C$10</definedName>
    <definedName name="solver_lhs4" localSheetId="4" hidden="1">Lab10_Ex10_9!#REF!</definedName>
    <definedName name="solver_lhs5" localSheetId="4" hidden="1">Lab10_Ex10_9!#REF!</definedName>
    <definedName name="solver_lhs6" localSheetId="4" hidden="1">Lab10_Ex10_9!#REF!</definedName>
    <definedName name="solver_lhs7" localSheetId="4" hidden="1">Lab10_Ex10_9!#REF!</definedName>
    <definedName name="solver_lhs8" localSheetId="4" hidden="1">Lab10_Ex10_9!#REF!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neg" localSheetId="0" hidden="1">2</definedName>
    <definedName name="solver_neg" localSheetId="1" hidden="1">2</definedName>
    <definedName name="solver_neg" localSheetId="2" hidden="1">2</definedName>
    <definedName name="solver_neg" localSheetId="3" hidden="1">1</definedName>
    <definedName name="solver_neg" localSheetId="4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um" localSheetId="0" hidden="1">0</definedName>
    <definedName name="solver_num" localSheetId="1" hidden="1">0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opt" localSheetId="0" hidden="1">Lab10_Ex10_5!$C$3</definedName>
    <definedName name="solver_opt" localSheetId="1" hidden="1">Lab10_Ex10_6!$C$7</definedName>
    <definedName name="solver_opt" localSheetId="2" hidden="1">Lab10_Ex10_7!$C$7</definedName>
    <definedName name="solver_opt" localSheetId="3" hidden="1">Lab10_Ex10_8!$C$7</definedName>
    <definedName name="solver_opt" localSheetId="4" hidden="1">Lab10_Ex10_9!$C$7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el1" localSheetId="2" hidden="1">1</definedName>
    <definedName name="solver_rel1" localSheetId="3" hidden="1">1</definedName>
    <definedName name="solver_rel1" localSheetId="4" hidden="1">1</definedName>
    <definedName name="solver_rel2" localSheetId="2" hidden="1">3</definedName>
    <definedName name="solver_rel2" localSheetId="3" hidden="1">3</definedName>
    <definedName name="solver_rel2" localSheetId="4" hidden="1">3</definedName>
    <definedName name="solver_rel3" localSheetId="4" hidden="1">1</definedName>
    <definedName name="solver_rel4" localSheetId="4" hidden="1">1</definedName>
    <definedName name="solver_rel5" localSheetId="4" hidden="1">1</definedName>
    <definedName name="solver_rel6" localSheetId="4" hidden="1">1</definedName>
    <definedName name="solver_rel7" localSheetId="4" hidden="1">2</definedName>
    <definedName name="solver_rel8" localSheetId="4" hidden="1">2</definedName>
    <definedName name="solver_rhs1" localSheetId="2" hidden="1">0.1</definedName>
    <definedName name="solver_rhs1" localSheetId="3" hidden="1">0.1</definedName>
    <definedName name="solver_rhs1" localSheetId="4" hidden="1">0.1</definedName>
    <definedName name="solver_rhs2" localSheetId="2" hidden="1">4</definedName>
    <definedName name="solver_rhs2" localSheetId="3" hidden="1">4</definedName>
    <definedName name="solver_rhs2" localSheetId="4" hidden="1">4</definedName>
    <definedName name="solver_rhs3" localSheetId="4" hidden="1">0</definedName>
    <definedName name="solver_rhs4" localSheetId="4" hidden="1">22000</definedName>
    <definedName name="solver_rhs5" localSheetId="4" hidden="1">14000</definedName>
    <definedName name="solver_rhs6" localSheetId="4" hidden="1">10000</definedName>
    <definedName name="solver_rhs7" localSheetId="4" hidden="1">26000</definedName>
    <definedName name="solver_rhs8" localSheetId="4" hidden="1">13000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1</definedName>
    <definedName name="solver_typ" localSheetId="4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5" l="1"/>
  <c r="C9" i="5"/>
  <c r="C7" i="5"/>
  <c r="F10" i="6"/>
  <c r="F9" i="6"/>
  <c r="F8" i="6"/>
  <c r="F7" i="6"/>
  <c r="F6" i="6"/>
  <c r="F5" i="6"/>
  <c r="F4" i="6"/>
  <c r="F2" i="6"/>
  <c r="C7" i="4"/>
  <c r="C10" i="4"/>
  <c r="C9" i="4"/>
  <c r="C9" i="3"/>
  <c r="C10" i="3"/>
  <c r="C7" i="3"/>
  <c r="C7" i="2"/>
  <c r="C3" i="1"/>
</calcChain>
</file>

<file path=xl/sharedStrings.xml><?xml version="1.0" encoding="utf-8"?>
<sst xmlns="http://schemas.openxmlformats.org/spreadsheetml/2006/main" count="49" uniqueCount="23">
  <si>
    <t>Objective Function:</t>
  </si>
  <si>
    <t>Design Variables:</t>
  </si>
  <si>
    <t>x1:</t>
  </si>
  <si>
    <t>x2:</t>
  </si>
  <si>
    <t>x3:</t>
  </si>
  <si>
    <t>Contraint Eq.1:</t>
  </si>
  <si>
    <t>Contraint Eq.2:</t>
  </si>
  <si>
    <t>Contraint Eq.3:</t>
  </si>
  <si>
    <t>Contraint Eq.4:</t>
  </si>
  <si>
    <t>Contraint Eq.5:</t>
  </si>
  <si>
    <t>x4:</t>
  </si>
  <si>
    <t>x5:</t>
  </si>
  <si>
    <t>x6:</t>
  </si>
  <si>
    <t>x7:</t>
  </si>
  <si>
    <t>x8:</t>
  </si>
  <si>
    <t>x9:</t>
  </si>
  <si>
    <t>x10:</t>
  </si>
  <si>
    <t>x11:</t>
  </si>
  <si>
    <t>x12:</t>
  </si>
  <si>
    <t>Contraint Eq.6:</t>
  </si>
  <si>
    <t>Contraint Eq.7:</t>
  </si>
  <si>
    <t>Constraint Eq1:</t>
  </si>
  <si>
    <t>Constraint Eq2: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</si>
</sst>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"/>
    <numFmt numFmtId="172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0" fontId="0" fillId="0" borderId="0" xfId="0" applyNumberFormat="1"/>
    <xf numFmtId="0" fontId="0" fillId="0" borderId="0" xfId="0" applyAlignment="1">
      <alignment horizontal="right"/>
    </xf>
    <xf numFmtId="172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920D-9D9D-4D4C-A733-5B61B16239CC}">
  <dimension ref="B2:C3"/>
  <sheetViews>
    <sheetView workbookViewId="0">
      <selection activeCell="B7" sqref="B7"/>
    </sheetView>
  </sheetViews>
  <sheetFormatPr defaultRowHeight="15" x14ac:dyDescent="0.25"/>
  <cols>
    <col min="2" max="2" width="18.140625" bestFit="1" customWidth="1"/>
    <col min="3" max="3" width="12.5703125" bestFit="1" customWidth="1"/>
  </cols>
  <sheetData>
    <row r="2" spans="2:3" x14ac:dyDescent="0.25">
      <c r="B2" t="s">
        <v>1</v>
      </c>
      <c r="C2" s="1">
        <v>-0.18344736495815667</v>
      </c>
    </row>
    <row r="3" spans="2:3" x14ac:dyDescent="0.25">
      <c r="B3" t="s">
        <v>0</v>
      </c>
      <c r="C3" s="1">
        <f>3*C2^4+C2^3*COS(PI()*C2)</f>
        <v>-1.7788031832861604E-3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F9FA-6026-420F-A4F8-C0675430DF96}">
  <dimension ref="B2:C7"/>
  <sheetViews>
    <sheetView workbookViewId="0">
      <selection activeCell="D7" sqref="B2:D7"/>
    </sheetView>
  </sheetViews>
  <sheetFormatPr defaultRowHeight="15" x14ac:dyDescent="0.25"/>
  <cols>
    <col min="2" max="2" width="18.140625" bestFit="1" customWidth="1"/>
  </cols>
  <sheetData>
    <row r="2" spans="2:3" x14ac:dyDescent="0.25">
      <c r="B2" t="s">
        <v>1</v>
      </c>
    </row>
    <row r="3" spans="2:3" x14ac:dyDescent="0.25">
      <c r="B3" s="2" t="s">
        <v>2</v>
      </c>
      <c r="C3" s="1">
        <v>0.4999991288677641</v>
      </c>
    </row>
    <row r="4" spans="2:3" x14ac:dyDescent="0.25">
      <c r="B4" s="2" t="s">
        <v>3</v>
      </c>
      <c r="C4" s="1">
        <v>0.62995970590441186</v>
      </c>
    </row>
    <row r="5" spans="2:3" x14ac:dyDescent="0.25">
      <c r="B5" s="2" t="s">
        <v>4</v>
      </c>
      <c r="C5" s="1">
        <v>0.38545808311076613</v>
      </c>
    </row>
    <row r="7" spans="2:3" x14ac:dyDescent="0.25">
      <c r="B7" t="s">
        <v>0</v>
      </c>
      <c r="C7" s="1">
        <f>C3^2-C3+C4^4-C4+C5^4+C5^2-C5</f>
        <v>-0.93727514056075689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048F-DBAE-48B0-B5D4-2F521651BB93}">
  <dimension ref="B2:C10"/>
  <sheetViews>
    <sheetView workbookViewId="0">
      <selection activeCell="B10" sqref="B10"/>
    </sheetView>
  </sheetViews>
  <sheetFormatPr defaultRowHeight="15" x14ac:dyDescent="0.25"/>
  <cols>
    <col min="2" max="2" width="18.140625" bestFit="1" customWidth="1"/>
  </cols>
  <sheetData>
    <row r="2" spans="2:3" x14ac:dyDescent="0.25">
      <c r="B2" t="s">
        <v>1</v>
      </c>
    </row>
    <row r="3" spans="2:3" x14ac:dyDescent="0.25">
      <c r="B3" s="2" t="s">
        <v>2</v>
      </c>
      <c r="C3" s="1">
        <v>1.0726544882481903</v>
      </c>
    </row>
    <row r="4" spans="2:3" x14ac:dyDescent="0.25">
      <c r="B4" s="2" t="s">
        <v>3</v>
      </c>
      <c r="C4" s="1">
        <v>1.4636727558759051</v>
      </c>
    </row>
    <row r="5" spans="2:3" x14ac:dyDescent="0.25">
      <c r="B5" s="2" t="s">
        <v>4</v>
      </c>
      <c r="C5" s="1">
        <v>0.97265448824819112</v>
      </c>
    </row>
    <row r="7" spans="2:3" x14ac:dyDescent="0.25">
      <c r="B7" t="s">
        <v>0</v>
      </c>
      <c r="C7" s="1">
        <f>C3^2-C3+C4^4-C4+C5^4+C5^2-C5</f>
        <v>4.0722978864384256</v>
      </c>
    </row>
    <row r="9" spans="2:3" x14ac:dyDescent="0.25">
      <c r="B9" t="s">
        <v>5</v>
      </c>
      <c r="C9">
        <f>C3+2*C4</f>
        <v>4</v>
      </c>
    </row>
    <row r="10" spans="2:3" x14ac:dyDescent="0.25">
      <c r="B10" t="s">
        <v>6</v>
      </c>
      <c r="C10" s="1">
        <f>C3-C5</f>
        <v>9.9999999999999201E-2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1F4E9-43E6-47A9-9616-466136E2D125}">
  <dimension ref="B2:C10"/>
  <sheetViews>
    <sheetView tabSelected="1" workbookViewId="0">
      <selection activeCell="B10" sqref="B10"/>
    </sheetView>
  </sheetViews>
  <sheetFormatPr defaultRowHeight="15" x14ac:dyDescent="0.25"/>
  <cols>
    <col min="2" max="2" width="18.140625" bestFit="1" customWidth="1"/>
  </cols>
  <sheetData>
    <row r="2" spans="2:3" x14ac:dyDescent="0.25">
      <c r="B2" t="s">
        <v>1</v>
      </c>
    </row>
    <row r="3" spans="2:3" x14ac:dyDescent="0.25">
      <c r="B3" s="2" t="s">
        <v>2</v>
      </c>
      <c r="C3" s="1">
        <v>4</v>
      </c>
    </row>
    <row r="4" spans="2:3" x14ac:dyDescent="0.25">
      <c r="B4" s="2" t="s">
        <v>3</v>
      </c>
      <c r="C4" s="1">
        <v>0</v>
      </c>
    </row>
    <row r="5" spans="2:3" x14ac:dyDescent="0.25">
      <c r="B5" s="2" t="s">
        <v>4</v>
      </c>
      <c r="C5" s="1">
        <v>3.9</v>
      </c>
    </row>
    <row r="7" spans="2:3" x14ac:dyDescent="0.25">
      <c r="B7" t="s">
        <v>0</v>
      </c>
      <c r="C7" s="1">
        <f>3*C3+C4+5*C5</f>
        <v>31.5</v>
      </c>
    </row>
    <row r="9" spans="2:3" x14ac:dyDescent="0.25">
      <c r="B9" t="s">
        <v>5</v>
      </c>
      <c r="C9">
        <f>C3+2*C4</f>
        <v>4</v>
      </c>
    </row>
    <row r="10" spans="2:3" x14ac:dyDescent="0.25">
      <c r="B10" t="s">
        <v>6</v>
      </c>
      <c r="C10" s="1">
        <f>C3-C5</f>
        <v>0.10000000000000009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68A5-106D-4042-BEFA-4A0161B9BA90}">
  <dimension ref="B2:F14"/>
  <sheetViews>
    <sheetView workbookViewId="0">
      <selection activeCell="B12" sqref="B12"/>
    </sheetView>
  </sheetViews>
  <sheetFormatPr defaultRowHeight="15" x14ac:dyDescent="0.25"/>
  <cols>
    <col min="2" max="2" width="18.140625" bestFit="1" customWidth="1"/>
    <col min="5" max="5" width="18.140625" bestFit="1" customWidth="1"/>
  </cols>
  <sheetData>
    <row r="2" spans="2:6" x14ac:dyDescent="0.25">
      <c r="B2" s="4" t="s">
        <v>1</v>
      </c>
      <c r="C2" s="4"/>
      <c r="D2" s="4"/>
      <c r="E2" s="4"/>
    </row>
    <row r="3" spans="2:6" x14ac:dyDescent="0.25">
      <c r="B3" s="5" t="s">
        <v>2</v>
      </c>
      <c r="C3" s="3">
        <v>0</v>
      </c>
      <c r="D3" s="4"/>
      <c r="E3" s="4"/>
      <c r="F3" s="4"/>
    </row>
    <row r="4" spans="2:6" x14ac:dyDescent="0.25">
      <c r="B4" s="5" t="s">
        <v>3</v>
      </c>
      <c r="C4" s="3">
        <v>2</v>
      </c>
    </row>
    <row r="5" spans="2:6" x14ac:dyDescent="0.25">
      <c r="B5" s="5" t="s">
        <v>4</v>
      </c>
      <c r="C5" s="3">
        <v>0</v>
      </c>
    </row>
    <row r="6" spans="2:6" x14ac:dyDescent="0.25">
      <c r="B6" s="4"/>
      <c r="C6" s="3"/>
    </row>
    <row r="7" spans="2:6" x14ac:dyDescent="0.25">
      <c r="B7" s="4" t="s">
        <v>0</v>
      </c>
      <c r="C7" s="3">
        <f>3*C3+C4+5*C5</f>
        <v>2</v>
      </c>
    </row>
    <row r="8" spans="2:6" x14ac:dyDescent="0.25">
      <c r="B8" s="4"/>
      <c r="C8" s="3"/>
    </row>
    <row r="9" spans="2:6" x14ac:dyDescent="0.25">
      <c r="B9" s="4" t="s">
        <v>21</v>
      </c>
      <c r="C9" s="3">
        <f>C3+2*C4</f>
        <v>4</v>
      </c>
    </row>
    <row r="10" spans="2:6" x14ac:dyDescent="0.25">
      <c r="B10" s="4" t="s">
        <v>22</v>
      </c>
      <c r="C10" s="3">
        <f>C3-C5</f>
        <v>0</v>
      </c>
    </row>
    <row r="11" spans="2:6" x14ac:dyDescent="0.25">
      <c r="B11" s="4"/>
    </row>
    <row r="12" spans="2:6" x14ac:dyDescent="0.25">
      <c r="B12" s="4"/>
    </row>
    <row r="13" spans="2:6" x14ac:dyDescent="0.25">
      <c r="B13" s="4"/>
      <c r="C13" s="4"/>
      <c r="D13" s="4"/>
    </row>
    <row r="14" spans="2:6" x14ac:dyDescent="0.25">
      <c r="B14" s="4"/>
      <c r="C14" s="4"/>
      <c r="D14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B943-B4C1-442B-A251-E7CFBD8A5A32}">
  <dimension ref="B2:F14"/>
  <sheetViews>
    <sheetView workbookViewId="0">
      <selection activeCell="B2" sqref="B2:F14"/>
    </sheetView>
  </sheetViews>
  <sheetFormatPr defaultRowHeight="15" x14ac:dyDescent="0.25"/>
  <sheetData>
    <row r="2" spans="2:6" x14ac:dyDescent="0.25">
      <c r="B2" s="4" t="s">
        <v>1</v>
      </c>
      <c r="C2" s="4"/>
      <c r="D2" s="4"/>
      <c r="E2" s="4" t="s">
        <v>0</v>
      </c>
      <c r="F2" s="4">
        <f>1.07*C3+1.78*C4+2.17*C5+0.9*C6+1.57*C7+1.84*C8+0.72*C9+1.24*C10+1.67*C11+0.54*C12+1.35*C13+1.51*C14</f>
        <v>67350.001226618522</v>
      </c>
    </row>
    <row r="3" spans="2:6" x14ac:dyDescent="0.25">
      <c r="B3" s="5" t="s">
        <v>2</v>
      </c>
      <c r="C3" s="4">
        <v>0</v>
      </c>
      <c r="D3" s="4"/>
      <c r="E3" s="4"/>
      <c r="F3" s="4"/>
    </row>
    <row r="4" spans="2:6" x14ac:dyDescent="0.25">
      <c r="B4" s="5" t="s">
        <v>3</v>
      </c>
      <c r="C4" s="4">
        <v>6999.9903333395914</v>
      </c>
      <c r="D4" s="4"/>
      <c r="E4" s="4" t="s">
        <v>5</v>
      </c>
      <c r="F4" s="4">
        <f>C3+C4+C5</f>
        <v>17999.999999999996</v>
      </c>
    </row>
    <row r="5" spans="2:6" x14ac:dyDescent="0.25">
      <c r="B5" s="5" t="s">
        <v>4</v>
      </c>
      <c r="C5" s="4">
        <v>11000.009666660406</v>
      </c>
      <c r="D5" s="4"/>
      <c r="E5" s="4" t="s">
        <v>6</v>
      </c>
      <c r="F5" s="4">
        <f>C6+C7+C8</f>
        <v>22000.000093406117</v>
      </c>
    </row>
    <row r="6" spans="2:6" x14ac:dyDescent="0.25">
      <c r="B6" s="5" t="s">
        <v>10</v>
      </c>
      <c r="C6" s="4">
        <v>16000.000086071243</v>
      </c>
      <c r="D6" s="4"/>
      <c r="E6" s="4" t="s">
        <v>7</v>
      </c>
      <c r="F6" s="4">
        <f>C9+C10+C11</f>
        <v>9999.9999689436208</v>
      </c>
    </row>
    <row r="7" spans="2:6" x14ac:dyDescent="0.25">
      <c r="B7" s="5" t="s">
        <v>11</v>
      </c>
      <c r="C7" s="4">
        <v>6000.0096739952787</v>
      </c>
      <c r="D7" s="4"/>
      <c r="E7" s="4" t="s">
        <v>8</v>
      </c>
      <c r="F7" s="4">
        <f>C12+C13+C14</f>
        <v>1.9216474138562135E-13</v>
      </c>
    </row>
    <row r="8" spans="2:6" x14ac:dyDescent="0.25">
      <c r="B8" s="5" t="s">
        <v>12</v>
      </c>
      <c r="C8" s="4">
        <v>-9.6666604051283481E-3</v>
      </c>
      <c r="D8" s="4"/>
      <c r="E8" s="4" t="s">
        <v>9</v>
      </c>
      <c r="F8" s="4">
        <f>C3+C6+C9+C12</f>
        <v>26000.000055014862</v>
      </c>
    </row>
    <row r="9" spans="2:6" x14ac:dyDescent="0.25">
      <c r="B9" s="5" t="s">
        <v>13</v>
      </c>
      <c r="C9" s="4">
        <v>9999.9999689436208</v>
      </c>
      <c r="D9" s="4"/>
      <c r="E9" s="4" t="s">
        <v>19</v>
      </c>
      <c r="F9" s="4">
        <f>C4+C7+C10+C13</f>
        <v>13000.000007334871</v>
      </c>
    </row>
    <row r="10" spans="2:6" x14ac:dyDescent="0.25">
      <c r="B10" s="5" t="s">
        <v>14</v>
      </c>
      <c r="C10" s="4">
        <v>0</v>
      </c>
      <c r="D10" s="4"/>
      <c r="E10" s="4" t="s">
        <v>20</v>
      </c>
      <c r="F10" s="4">
        <f>C5+C8+C11+C14</f>
        <v>11000</v>
      </c>
    </row>
    <row r="11" spans="2:6" x14ac:dyDescent="0.25">
      <c r="B11" s="5" t="s">
        <v>15</v>
      </c>
      <c r="C11" s="4">
        <v>0</v>
      </c>
      <c r="D11" s="4"/>
      <c r="E11" s="4"/>
      <c r="F11" s="4"/>
    </row>
    <row r="12" spans="2:6" x14ac:dyDescent="0.25">
      <c r="B12" s="5" t="s">
        <v>16</v>
      </c>
      <c r="C12" s="4">
        <v>0</v>
      </c>
      <c r="D12" s="4"/>
      <c r="E12" s="4"/>
      <c r="F12" s="4"/>
    </row>
    <row r="13" spans="2:6" x14ac:dyDescent="0.25">
      <c r="B13" s="5" t="s">
        <v>17</v>
      </c>
      <c r="C13" s="4">
        <v>1.9216474138562135E-13</v>
      </c>
      <c r="D13" s="4"/>
      <c r="E13" s="4"/>
      <c r="F13" s="4"/>
    </row>
    <row r="14" spans="2:6" x14ac:dyDescent="0.25">
      <c r="B14" s="5" t="s">
        <v>18</v>
      </c>
      <c r="C14" s="4">
        <v>0</v>
      </c>
      <c r="D14" s="4"/>
      <c r="E14" s="4"/>
      <c r="F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Lab10_Ex10_5</vt:lpstr>
      <vt:lpstr>Lab10_Ex10_6</vt:lpstr>
      <vt:lpstr>Lab10_Ex10_7</vt:lpstr>
      <vt:lpstr>Lab10_Ex10_8</vt:lpstr>
      <vt:lpstr>Lab10_Ex10_9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J. Isaias</dc:creator>
  <cp:lastModifiedBy>Brian Isaias</cp:lastModifiedBy>
  <dcterms:created xsi:type="dcterms:W3CDTF">2025-11-19T04:57:29Z</dcterms:created>
  <dcterms:modified xsi:type="dcterms:W3CDTF">2025-11-19T05:54:59Z</dcterms:modified>
</cp:coreProperties>
</file>